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gaura\Downloads\"/>
    </mc:Choice>
  </mc:AlternateContent>
  <xr:revisionPtr revIDLastSave="0" documentId="13_ncr:1_{2418F333-16D8-4FBD-940C-63C7EA1E1F2F}" xr6:coauthVersionLast="47" xr6:coauthVersionMax="47" xr10:uidLastSave="{00000000-0000-0000-0000-000000000000}"/>
  <bookViews>
    <workbookView xWindow="-108" yWindow="-108" windowWidth="23256" windowHeight="13176" activeTab="2" xr2:uid="{5018462B-D177-4280-9FEB-3A2149CC54A4}"/>
  </bookViews>
  <sheets>
    <sheet name="DATA" sheetId="1" r:id="rId1"/>
    <sheet name="Pivot" sheetId="4" r:id="rId2"/>
    <sheet name="Dashboard" sheetId="10" r:id="rId3"/>
    <sheet name="Product" sheetId="11" r:id="rId4"/>
    <sheet name="Salesman" sheetId="12" r:id="rId5"/>
    <sheet name="About" sheetId="13" r:id="rId6"/>
  </sheets>
  <definedNames>
    <definedName name="NativeTimeline_Date">#N/A</definedName>
    <definedName name="Salesman">Table2[Salesman]</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B51" i="4"/>
  <c r="B47" i="4"/>
</calcChain>
</file>

<file path=xl/sharedStrings.xml><?xml version="1.0" encoding="utf-8"?>
<sst xmlns="http://schemas.openxmlformats.org/spreadsheetml/2006/main" count="1181" uniqueCount="40">
  <si>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</si>
  <si>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</si>
  <si>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</si>
  <si>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</si>
  <si>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</si>
  <si>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</si>
  <si>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</si>
  <si>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</si>
  <si>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</si>
  <si>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</si>
  <si>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</si>
  <si>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</si>
  <si>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</si>
  <si>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</si>
  <si>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</si>
  <si>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</si>
  <si>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</si>
  <si>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</si>
  <si>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</si>
  <si>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</si>
  <si>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</si>
  <si>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</si>
  <si>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</si>
  <si>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</si>
  <si>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Grand Total</t>
  </si>
  <si>
    <t>Row Labels</t>
  </si>
  <si>
    <t>Sum of Amount</t>
  </si>
  <si>
    <t>Jan</t>
  </si>
  <si>
    <t>Feb</t>
  </si>
  <si>
    <t>Mar</t>
  </si>
  <si>
    <t>Apr</t>
  </si>
  <si>
    <t>May</t>
  </si>
  <si>
    <t>Jun</t>
  </si>
  <si>
    <t>Jul</t>
  </si>
  <si>
    <t>Aug</t>
  </si>
  <si>
    <t>Sep</t>
  </si>
  <si>
    <t>Oct</t>
  </si>
  <si>
    <t>Nov</t>
  </si>
  <si>
    <t>Dec</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</si>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</sst>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64" fontId="0" fillId="0" borderId="0" xfId="0" applyNumberFormat="1"/>
    <xf numFmtId="164" fontId="2" fillId="0" borderId="0" xfId="0" applyNumberFormat="1" applyFont="1"/>
    <xf numFmtId="0" fontId="2" fillId="0" borderId="0" xfId="0" applyFont="1"/>
    <xf numFmtId="164" fontId="0" fillId="0" borderId="3" xfId="0" applyNumberFormat="1" applyBorder="1"/>
    <xf numFmtId="0" fontId="0" fillId="0" borderId="8" xfId="0" applyBorder="1"/>
    <xf numFmtId="164" fontId="0" fillId="0" borderId="8" xfId="0" applyNumberFormat="1" applyBorder="1"/>
    <xf numFmtId="164" fontId="0" fillId="0" borderId="9" xfId="0" applyNumberFormat="1" applyBorder="1"/>
    <xf numFmtId="0" fontId="0" fillId="0" borderId="2" xfId="0"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center"/>
    </xf>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0" fontId="0" fillId="0" borderId="7" xfId="0" applyBorder="1" applyAlignment="1">
      <alignment horizontal="left"/>
    </xf>
    <xf numFmtId="14" fontId="0" fillId="0" borderId="8" xfId="0" applyNumberFormat="1" applyBorder="1" applyAlignment="1">
      <alignment horizontal="center"/>
    </xf>
  </cellXfs>
  <cellStyles count="1">
    <cellStyle name="Normal" xfId="0" builtinId="0"/>
  </cellStyles>
  <dxfs count="45">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numFmt numFmtId="164" formatCode="0.000"/>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6426071741032"/>
          <c:y val="7.407407407407407E-2"/>
          <c:w val="0.80789129483814526"/>
          <c:h val="0.8416746864975212"/>
        </c:manualLayout>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Pivot!$B$2:$B$14</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1D17-43E2-AB75-CDD93F70D518}"/>
            </c:ext>
          </c:extLst>
        </c:ser>
        <c:dLbls>
          <c:showLegendKey val="0"/>
          <c:showVal val="0"/>
          <c:showCatName val="0"/>
          <c:showSerName val="0"/>
          <c:showPercent val="0"/>
          <c:showBubbleSize val="0"/>
        </c:dLbls>
        <c:marker val="1"/>
        <c:smooth val="0"/>
        <c:axId val="690492431"/>
        <c:axId val="690490031"/>
      </c:lineChart>
      <c:catAx>
        <c:axId val="69049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90031"/>
        <c:crosses val="autoZero"/>
        <c:auto val="1"/>
        <c:lblAlgn val="ctr"/>
        <c:lblOffset val="100"/>
        <c:noMultiLvlLbl val="0"/>
      </c:catAx>
      <c:valAx>
        <c:axId val="69049003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924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42140598520106"/>
          <c:y val="7.0707075819546633E-2"/>
          <c:w val="0.73014825975443254"/>
          <c:h val="0.7801764083336159"/>
        </c:manualLayout>
      </c:layout>
      <c:barChart>
        <c:barDir val="col"/>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Pivot!$A$21:$A$25</c:f>
              <c:strCache>
                <c:ptCount val="4"/>
                <c:pt idx="0">
                  <c:v>East</c:v>
                </c:pt>
                <c:pt idx="1">
                  <c:v>North</c:v>
                </c:pt>
                <c:pt idx="2">
                  <c:v>South</c:v>
                </c:pt>
                <c:pt idx="3">
                  <c:v>West</c:v>
                </c:pt>
              </c:strCache>
            </c:strRef>
          </c:cat>
          <c:val>
            <c:numRef>
              <c:f>Pivot!$B$21:$B$25</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B096-45A7-8335-1110C12A43EF}"/>
            </c:ext>
          </c:extLst>
        </c:ser>
        <c:dLbls>
          <c:showLegendKey val="0"/>
          <c:showVal val="0"/>
          <c:showCatName val="0"/>
          <c:showSerName val="0"/>
          <c:showPercent val="0"/>
          <c:showBubbleSize val="0"/>
        </c:dLbls>
        <c:gapWidth val="219"/>
        <c:overlap val="-27"/>
        <c:axId val="1042995295"/>
        <c:axId val="1042991935"/>
      </c:barChart>
      <c:catAx>
        <c:axId val="104299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91935"/>
        <c:crosses val="autoZero"/>
        <c:auto val="1"/>
        <c:lblAlgn val="ctr"/>
        <c:lblOffset val="100"/>
        <c:noMultiLvlLbl val="0"/>
      </c:catAx>
      <c:valAx>
        <c:axId val="104299193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9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Pivot!$B$33</c:f>
              <c:strCache>
                <c:ptCount val="1"/>
                <c:pt idx="0">
                  <c:v>Total</c:v>
                </c:pt>
              </c:strCache>
            </c:strRef>
          </c:tx>
          <c:spPr>
            <a:solidFill>
              <a:schemeClr val="accent1"/>
            </a:solidFill>
            <a:ln>
              <a:noFill/>
            </a:ln>
            <a:effectLst/>
          </c:spPr>
          <c:invertIfNegative val="0"/>
          <c:cat>
            <c:strRef>
              <c:f>Pivot!$A$34:$A$37</c:f>
              <c:strCache>
                <c:ptCount val="3"/>
                <c:pt idx="0">
                  <c:v>Monitor</c:v>
                </c:pt>
                <c:pt idx="1">
                  <c:v>Printer</c:v>
                </c:pt>
                <c:pt idx="2">
                  <c:v>Scanner</c:v>
                </c:pt>
              </c:strCache>
            </c:strRef>
          </c:cat>
          <c:val>
            <c:numRef>
              <c:f>Pivot!$B$34:$B$37</c:f>
              <c:numCache>
                <c:formatCode>0.000</c:formatCode>
                <c:ptCount val="3"/>
                <c:pt idx="0">
                  <c:v>339000</c:v>
                </c:pt>
                <c:pt idx="1">
                  <c:v>934500</c:v>
                </c:pt>
                <c:pt idx="2">
                  <c:v>352200</c:v>
                </c:pt>
              </c:numCache>
            </c:numRef>
          </c:val>
          <c:extLst>
            <c:ext xmlns:c16="http://schemas.microsoft.com/office/drawing/2014/chart" uri="{C3380CC4-5D6E-409C-BE32-E72D297353CC}">
              <c16:uniqueId val="{00000000-0879-492C-8D8B-1A9A2F4ED7A9}"/>
            </c:ext>
          </c:extLst>
        </c:ser>
        <c:dLbls>
          <c:showLegendKey val="0"/>
          <c:showVal val="0"/>
          <c:showCatName val="0"/>
          <c:showSerName val="0"/>
          <c:showPercent val="0"/>
          <c:showBubbleSize val="0"/>
        </c:dLbls>
        <c:gapWidth val="182"/>
        <c:axId val="1230397295"/>
        <c:axId val="1230397775"/>
      </c:barChart>
      <c:catAx>
        <c:axId val="123039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97775"/>
        <c:crosses val="autoZero"/>
        <c:auto val="1"/>
        <c:lblAlgn val="ctr"/>
        <c:lblOffset val="100"/>
        <c:noMultiLvlLbl val="0"/>
      </c:catAx>
      <c:valAx>
        <c:axId val="1230397775"/>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97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final.xlsx]Pivot!PivotTable7</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Pivot!$B$54</c:f>
              <c:strCache>
                <c:ptCount val="1"/>
                <c:pt idx="0">
                  <c:v>Total</c:v>
                </c:pt>
              </c:strCache>
            </c:strRef>
          </c:tx>
          <c:spPr>
            <a:solidFill>
              <a:schemeClr val="accent1"/>
            </a:solidFill>
            <a:ln>
              <a:noFill/>
            </a:ln>
            <a:effectLst/>
          </c:spPr>
          <c:invertIfNegative val="0"/>
          <c:cat>
            <c:strRef>
              <c:f>Pivot!$A$55:$A$61</c:f>
              <c:strCache>
                <c:ptCount val="6"/>
                <c:pt idx="0">
                  <c:v>Keyboard</c:v>
                </c:pt>
                <c:pt idx="1">
                  <c:v>Monitor</c:v>
                </c:pt>
                <c:pt idx="2">
                  <c:v>Mouse</c:v>
                </c:pt>
                <c:pt idx="3">
                  <c:v>Printer</c:v>
                </c:pt>
                <c:pt idx="4">
                  <c:v>Scanner</c:v>
                </c:pt>
                <c:pt idx="5">
                  <c:v>Speaker</c:v>
                </c:pt>
              </c:strCache>
            </c:strRef>
          </c:cat>
          <c:val>
            <c:numRef>
              <c:f>Pivot!$B$55:$B$61</c:f>
              <c:numCache>
                <c:formatCode>0.000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C697-44AC-A651-0AAC3637ED81}"/>
            </c:ext>
          </c:extLst>
        </c:ser>
        <c:dLbls>
          <c:showLegendKey val="0"/>
          <c:showVal val="0"/>
          <c:showCatName val="0"/>
          <c:showSerName val="0"/>
          <c:showPercent val="0"/>
          <c:showBubbleSize val="0"/>
        </c:dLbls>
        <c:gapWidth val="219"/>
        <c:overlap val="-27"/>
        <c:axId val="1672361215"/>
        <c:axId val="1672354495"/>
      </c:barChart>
      <c:catAx>
        <c:axId val="167236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54495"/>
        <c:crosses val="autoZero"/>
        <c:auto val="1"/>
        <c:lblAlgn val="ctr"/>
        <c:lblOffset val="100"/>
        <c:noMultiLvlLbl val="0"/>
      </c:catAx>
      <c:valAx>
        <c:axId val="167235449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6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final.xlsx]Pivot!PivotTable8</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Pivot!$B$66</c:f>
              <c:strCache>
                <c:ptCount val="1"/>
                <c:pt idx="0">
                  <c:v>Total</c:v>
                </c:pt>
              </c:strCache>
            </c:strRef>
          </c:tx>
          <c:spPr>
            <a:ln w="28575" cap="rnd">
              <a:solidFill>
                <a:schemeClr val="accent1"/>
              </a:solidFill>
              <a:round/>
            </a:ln>
            <a:effectLst/>
          </c:spPr>
          <c:marker>
            <c:symbol val="none"/>
          </c:marker>
          <c:cat>
            <c:strRef>
              <c:f>Pivot!$A$67:$A$70</c:f>
              <c:strCache>
                <c:ptCount val="3"/>
                <c:pt idx="0">
                  <c:v>Keyboard</c:v>
                </c:pt>
                <c:pt idx="1">
                  <c:v>Mouse</c:v>
                </c:pt>
                <c:pt idx="2">
                  <c:v>Speaker</c:v>
                </c:pt>
              </c:strCache>
            </c:strRef>
          </c:cat>
          <c:val>
            <c:numRef>
              <c:f>Pivot!$B$67:$B$70</c:f>
              <c:numCache>
                <c:formatCode>0.000</c:formatCode>
                <c:ptCount val="3"/>
                <c:pt idx="0">
                  <c:v>25320</c:v>
                </c:pt>
                <c:pt idx="1">
                  <c:v>66150</c:v>
                </c:pt>
                <c:pt idx="2">
                  <c:v>65400</c:v>
                </c:pt>
              </c:numCache>
            </c:numRef>
          </c:val>
          <c:smooth val="0"/>
          <c:extLst>
            <c:ext xmlns:c16="http://schemas.microsoft.com/office/drawing/2014/chart" uri="{C3380CC4-5D6E-409C-BE32-E72D297353CC}">
              <c16:uniqueId val="{00000000-191A-4FEB-A123-01D50EB7DE5D}"/>
            </c:ext>
          </c:extLst>
        </c:ser>
        <c:dLbls>
          <c:showLegendKey val="0"/>
          <c:showVal val="0"/>
          <c:showCatName val="0"/>
          <c:showSerName val="0"/>
          <c:showPercent val="0"/>
          <c:showBubbleSize val="0"/>
        </c:dLbls>
        <c:smooth val="0"/>
        <c:axId val="215175919"/>
        <c:axId val="215173999"/>
      </c:lineChart>
      <c:catAx>
        <c:axId val="21517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73999"/>
        <c:crosses val="autoZero"/>
        <c:auto val="1"/>
        <c:lblAlgn val="ctr"/>
        <c:lblOffset val="100"/>
        <c:noMultiLvlLbl val="0"/>
      </c:catAx>
      <c:valAx>
        <c:axId val="2151739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7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final.xlsx]Pivot!PivotTable9</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Pivot!$B$79</c:f>
              <c:strCache>
                <c:ptCount val="1"/>
                <c:pt idx="0">
                  <c:v>Total</c:v>
                </c:pt>
              </c:strCache>
            </c:strRef>
          </c:tx>
          <c:spPr>
            <a:solidFill>
              <a:schemeClr val="accent1"/>
            </a:solidFill>
            <a:ln>
              <a:noFill/>
            </a:ln>
            <a:effectLst/>
          </c:spPr>
          <c:invertIfNegative val="0"/>
          <c:cat>
            <c:strRef>
              <c:f>Pivot!$A$80:$A$86</c:f>
              <c:strCache>
                <c:ptCount val="6"/>
                <c:pt idx="0">
                  <c:v>Keyboard</c:v>
                </c:pt>
                <c:pt idx="1">
                  <c:v>Monitor</c:v>
                </c:pt>
                <c:pt idx="2">
                  <c:v>Mouse</c:v>
                </c:pt>
                <c:pt idx="3">
                  <c:v>Printer</c:v>
                </c:pt>
                <c:pt idx="4">
                  <c:v>Scanner</c:v>
                </c:pt>
                <c:pt idx="5">
                  <c:v>Speaker</c:v>
                </c:pt>
              </c:strCache>
            </c:strRef>
          </c:cat>
          <c:val>
            <c:numRef>
              <c:f>Pivot!$B$80:$B$86</c:f>
              <c:numCache>
                <c:formatCode>0.000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1FB9-430F-B459-91874E2BB01E}"/>
            </c:ext>
          </c:extLst>
        </c:ser>
        <c:dLbls>
          <c:showLegendKey val="0"/>
          <c:showVal val="0"/>
          <c:showCatName val="0"/>
          <c:showSerName val="0"/>
          <c:showPercent val="0"/>
          <c:showBubbleSize val="0"/>
        </c:dLbls>
        <c:gapWidth val="219"/>
        <c:overlap val="-27"/>
        <c:axId val="215103439"/>
        <c:axId val="215103919"/>
      </c:barChart>
      <c:catAx>
        <c:axId val="21510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03919"/>
        <c:crosses val="autoZero"/>
        <c:auto val="1"/>
        <c:lblAlgn val="ctr"/>
        <c:lblOffset val="100"/>
        <c:noMultiLvlLbl val="0"/>
      </c:catAx>
      <c:valAx>
        <c:axId val="2151039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0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final.xlsx]Pivot!PivotTable6</c:name>
    <c:fmtId val="57"/>
  </c:pivotSource>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Pivot!$B$91</c:f>
              <c:strCache>
                <c:ptCount val="1"/>
                <c:pt idx="0">
                  <c:v>Total</c:v>
                </c:pt>
              </c:strCache>
            </c:strRef>
          </c:tx>
          <c:spPr>
            <a:noFill/>
            <a:ln w="25400" cap="flat" cmpd="sng" algn="ctr">
              <a:solidFill>
                <a:schemeClr val="accent1"/>
              </a:solidFill>
              <a:miter lim="800000"/>
            </a:ln>
            <a:effectLst/>
          </c:spPr>
          <c:invertIfNegative val="0"/>
          <c:cat>
            <c:strRef>
              <c:f>Pivot!$A$92:$A$98</c:f>
              <c:strCache>
                <c:ptCount val="6"/>
                <c:pt idx="0">
                  <c:v>Ajit Kumar</c:v>
                </c:pt>
                <c:pt idx="1">
                  <c:v>Amit</c:v>
                </c:pt>
                <c:pt idx="2">
                  <c:v>Chandu</c:v>
                </c:pt>
                <c:pt idx="3">
                  <c:v>Ramesh</c:v>
                </c:pt>
                <c:pt idx="4">
                  <c:v>Rohit Das</c:v>
                </c:pt>
                <c:pt idx="5">
                  <c:v>Siddhu</c:v>
                </c:pt>
              </c:strCache>
            </c:strRef>
          </c:cat>
          <c:val>
            <c:numRef>
              <c:f>Pivot!$B$92:$B$98</c:f>
              <c:numCache>
                <c:formatCode>0.000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7F60-406D-A3ED-49FA09F9A497}"/>
            </c:ext>
          </c:extLst>
        </c:ser>
        <c:dLbls>
          <c:showLegendKey val="0"/>
          <c:showVal val="0"/>
          <c:showCatName val="0"/>
          <c:showSerName val="0"/>
          <c:showPercent val="0"/>
          <c:showBubbleSize val="0"/>
        </c:dLbls>
        <c:gapWidth val="164"/>
        <c:overlap val="-35"/>
        <c:axId val="361034368"/>
        <c:axId val="361037248"/>
      </c:barChart>
      <c:catAx>
        <c:axId val="36103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1037248"/>
        <c:crosses val="autoZero"/>
        <c:auto val="1"/>
        <c:lblAlgn val="ctr"/>
        <c:lblOffset val="100"/>
        <c:noMultiLvlLbl val="0"/>
      </c:catAx>
      <c:valAx>
        <c:axId val="361037248"/>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103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final.xlsx]Pivot!PivotTable10</c:name>
    <c:fmtId val="6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Pivot!$A$103:$A$106</c:f>
              <c:strCache>
                <c:ptCount val="3"/>
                <c:pt idx="0">
                  <c:v>Ajit Kumar</c:v>
                </c:pt>
                <c:pt idx="1">
                  <c:v>Rohit Das</c:v>
                </c:pt>
                <c:pt idx="2">
                  <c:v>Siddhu</c:v>
                </c:pt>
              </c:strCache>
            </c:strRef>
          </c:cat>
          <c:val>
            <c:numRef>
              <c:f>Pivot!$B$103:$B$106</c:f>
              <c:numCache>
                <c:formatCode>0.000</c:formatCode>
                <c:ptCount val="3"/>
                <c:pt idx="0">
                  <c:v>386030</c:v>
                </c:pt>
                <c:pt idx="1">
                  <c:v>394410</c:v>
                </c:pt>
                <c:pt idx="2">
                  <c:v>551960</c:v>
                </c:pt>
              </c:numCache>
            </c:numRef>
          </c:val>
          <c:extLst>
            <c:ext xmlns:c16="http://schemas.microsoft.com/office/drawing/2014/chart" uri="{C3380CC4-5D6E-409C-BE32-E72D297353CC}">
              <c16:uniqueId val="{00000000-5C4E-4093-97E4-B7CF07106005}"/>
            </c:ext>
          </c:extLst>
        </c:ser>
        <c:dLbls>
          <c:showLegendKey val="0"/>
          <c:showVal val="0"/>
          <c:showCatName val="0"/>
          <c:showSerName val="0"/>
          <c:showPercent val="0"/>
          <c:showBubbleSize val="0"/>
        </c:dLbls>
        <c:gapWidth val="227"/>
        <c:overlap val="-48"/>
        <c:axId val="510188768"/>
        <c:axId val="510190208"/>
      </c:barChart>
      <c:catAx>
        <c:axId val="51018876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90208"/>
        <c:crosses val="autoZero"/>
        <c:auto val="1"/>
        <c:lblAlgn val="ctr"/>
        <c:lblOffset val="100"/>
        <c:noMultiLvlLbl val="0"/>
      </c:catAx>
      <c:valAx>
        <c:axId val="510190208"/>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final.xlsx]Pivot!PivotTable11</c:name>
    <c:fmtId val="69"/>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Pivot!$A$111:$A$114</c:f>
              <c:strCache>
                <c:ptCount val="3"/>
                <c:pt idx="0">
                  <c:v>Amit</c:v>
                </c:pt>
                <c:pt idx="1">
                  <c:v>Chandu</c:v>
                </c:pt>
                <c:pt idx="2">
                  <c:v>Ramesh</c:v>
                </c:pt>
              </c:strCache>
            </c:strRef>
          </c:cat>
          <c:val>
            <c:numRef>
              <c:f>Pivot!$B$111:$B$114</c:f>
              <c:numCache>
                <c:formatCode>0.000</c:formatCode>
                <c:ptCount val="3"/>
                <c:pt idx="0">
                  <c:v>184690</c:v>
                </c:pt>
                <c:pt idx="1">
                  <c:v>125600</c:v>
                </c:pt>
                <c:pt idx="2">
                  <c:v>139880</c:v>
                </c:pt>
              </c:numCache>
            </c:numRef>
          </c:val>
          <c:extLst>
            <c:ext xmlns:c16="http://schemas.microsoft.com/office/drawing/2014/chart" uri="{C3380CC4-5D6E-409C-BE32-E72D297353CC}">
              <c16:uniqueId val="{00000000-92B5-4EB6-B1D6-B647B65BDC90}"/>
            </c:ext>
          </c:extLst>
        </c:ser>
        <c:dLbls>
          <c:dLblPos val="outEnd"/>
          <c:showLegendKey val="0"/>
          <c:showVal val="1"/>
          <c:showCatName val="0"/>
          <c:showSerName val="0"/>
          <c:showPercent val="0"/>
          <c:showBubbleSize val="0"/>
        </c:dLbls>
        <c:gapWidth val="444"/>
        <c:overlap val="-90"/>
        <c:axId val="510219488"/>
        <c:axId val="510236288"/>
      </c:barChart>
      <c:catAx>
        <c:axId val="51021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0236288"/>
        <c:crosses val="autoZero"/>
        <c:auto val="1"/>
        <c:lblAlgn val="ctr"/>
        <c:lblOffset val="100"/>
        <c:noMultiLvlLbl val="0"/>
      </c:catAx>
      <c:valAx>
        <c:axId val="510236288"/>
        <c:scaling>
          <c:orientation val="minMax"/>
        </c:scaling>
        <c:delete val="1"/>
        <c:axPos val="l"/>
        <c:numFmt formatCode="0.000" sourceLinked="1"/>
        <c:majorTickMark val="none"/>
        <c:minorTickMark val="none"/>
        <c:tickLblPos val="nextTo"/>
        <c:crossAx val="51021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final.xlsx]Pivot!PivotTable2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Pivot!$A$21:$A$25</c:f>
              <c:strCache>
                <c:ptCount val="4"/>
                <c:pt idx="0">
                  <c:v>East</c:v>
                </c:pt>
                <c:pt idx="1">
                  <c:v>North</c:v>
                </c:pt>
                <c:pt idx="2">
                  <c:v>South</c:v>
                </c:pt>
                <c:pt idx="3">
                  <c:v>West</c:v>
                </c:pt>
              </c:strCache>
            </c:strRef>
          </c:cat>
          <c:val>
            <c:numRef>
              <c:f>Pivot!$B$21:$B$25</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A117-44A7-9C95-D4B8D0272537}"/>
            </c:ext>
          </c:extLst>
        </c:ser>
        <c:dLbls>
          <c:dLblPos val="outEnd"/>
          <c:showLegendKey val="0"/>
          <c:showVal val="1"/>
          <c:showCatName val="0"/>
          <c:showSerName val="0"/>
          <c:showPercent val="0"/>
          <c:showBubbleSize val="0"/>
        </c:dLbls>
        <c:gapWidth val="219"/>
        <c:axId val="1042995295"/>
        <c:axId val="1042991935"/>
      </c:barChart>
      <c:catAx>
        <c:axId val="104299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91935"/>
        <c:crosses val="autoZero"/>
        <c:auto val="1"/>
        <c:lblAlgn val="ctr"/>
        <c:lblOffset val="100"/>
        <c:noMultiLvlLbl val="0"/>
      </c:catAx>
      <c:valAx>
        <c:axId val="1042991935"/>
        <c:scaling>
          <c:orientation val="minMax"/>
        </c:scaling>
        <c:delete val="1"/>
        <c:axPos val="b"/>
        <c:numFmt formatCode="0.000" sourceLinked="1"/>
        <c:majorTickMark val="none"/>
        <c:minorTickMark val="none"/>
        <c:tickLblPos val="nextTo"/>
        <c:crossAx val="104299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final.xlsx]Pivot!PivotTable3</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of Product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37285134710412"/>
          <c:y val="6.5102558665700458E-2"/>
          <c:w val="0.68385265573718435"/>
          <c:h val="0.79760047906535658"/>
        </c:manualLayout>
      </c:layout>
      <c:barChart>
        <c:barDir val="bar"/>
        <c:grouping val="clustered"/>
        <c:varyColors val="0"/>
        <c:ser>
          <c:idx val="0"/>
          <c:order val="0"/>
          <c:tx>
            <c:strRef>
              <c:f>Pivot!$B$33</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Monitor</c:v>
                </c:pt>
                <c:pt idx="1">
                  <c:v>Printer</c:v>
                </c:pt>
                <c:pt idx="2">
                  <c:v>Scanner</c:v>
                </c:pt>
              </c:strCache>
            </c:strRef>
          </c:cat>
          <c:val>
            <c:numRef>
              <c:f>Pivot!$B$34:$B$37</c:f>
              <c:numCache>
                <c:formatCode>0.000</c:formatCode>
                <c:ptCount val="3"/>
                <c:pt idx="0">
                  <c:v>339000</c:v>
                </c:pt>
                <c:pt idx="1">
                  <c:v>934500</c:v>
                </c:pt>
                <c:pt idx="2">
                  <c:v>352200</c:v>
                </c:pt>
              </c:numCache>
            </c:numRef>
          </c:val>
          <c:extLst>
            <c:ext xmlns:c16="http://schemas.microsoft.com/office/drawing/2014/chart" uri="{C3380CC4-5D6E-409C-BE32-E72D297353CC}">
              <c16:uniqueId val="{00000000-AF76-4408-842F-C557825C4D6E}"/>
            </c:ext>
          </c:extLst>
        </c:ser>
        <c:dLbls>
          <c:dLblPos val="outEnd"/>
          <c:showLegendKey val="0"/>
          <c:showVal val="1"/>
          <c:showCatName val="0"/>
          <c:showSerName val="0"/>
          <c:showPercent val="0"/>
          <c:showBubbleSize val="0"/>
        </c:dLbls>
        <c:gapWidth val="182"/>
        <c:axId val="1230397295"/>
        <c:axId val="1230397775"/>
      </c:barChart>
      <c:catAx>
        <c:axId val="123039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97775"/>
        <c:crosses val="autoZero"/>
        <c:auto val="1"/>
        <c:lblAlgn val="ctr"/>
        <c:lblOffset val="100"/>
        <c:noMultiLvlLbl val="0"/>
      </c:catAx>
      <c:valAx>
        <c:axId val="1230397775"/>
        <c:scaling>
          <c:orientation val="minMax"/>
        </c:scaling>
        <c:delete val="1"/>
        <c:axPos val="b"/>
        <c:numFmt formatCode="0.000" sourceLinked="1"/>
        <c:majorTickMark val="none"/>
        <c:minorTickMark val="none"/>
        <c:tickLblPos val="nextTo"/>
        <c:crossAx val="1230397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final.xlsx]Pivot!PivotTable7</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of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Pivot!$A$55:$A$61</c:f>
              <c:strCache>
                <c:ptCount val="6"/>
                <c:pt idx="0">
                  <c:v>Keyboard</c:v>
                </c:pt>
                <c:pt idx="1">
                  <c:v>Monitor</c:v>
                </c:pt>
                <c:pt idx="2">
                  <c:v>Mouse</c:v>
                </c:pt>
                <c:pt idx="3">
                  <c:v>Printer</c:v>
                </c:pt>
                <c:pt idx="4">
                  <c:v>Scanner</c:v>
                </c:pt>
                <c:pt idx="5">
                  <c:v>Speaker</c:v>
                </c:pt>
              </c:strCache>
            </c:strRef>
          </c:cat>
          <c:val>
            <c:numRef>
              <c:f>Pivot!$B$55:$B$61</c:f>
              <c:numCache>
                <c:formatCode>0.000</c:formatCode>
                <c:ptCount val="6"/>
                <c:pt idx="0">
                  <c:v>25320</c:v>
                </c:pt>
                <c:pt idx="1">
                  <c:v>339000</c:v>
                </c:pt>
                <c:pt idx="2">
                  <c:v>66150</c:v>
                </c:pt>
                <c:pt idx="3">
                  <c:v>934500</c:v>
                </c:pt>
                <c:pt idx="4">
                  <c:v>352200</c:v>
                </c:pt>
                <c:pt idx="5">
                  <c:v>65400</c:v>
                </c:pt>
              </c:numCache>
            </c:numRef>
          </c:val>
          <c:smooth val="0"/>
          <c:extLst>
            <c:ext xmlns:c16="http://schemas.microsoft.com/office/drawing/2014/chart" uri="{C3380CC4-5D6E-409C-BE32-E72D297353CC}">
              <c16:uniqueId val="{00000000-ED24-4E41-B427-A18167E6FB89}"/>
            </c:ext>
          </c:extLst>
        </c:ser>
        <c:dLbls>
          <c:showLegendKey val="0"/>
          <c:showVal val="0"/>
          <c:showCatName val="0"/>
          <c:showSerName val="0"/>
          <c:showPercent val="0"/>
          <c:showBubbleSize val="0"/>
        </c:dLbls>
        <c:marker val="1"/>
        <c:smooth val="0"/>
        <c:axId val="1672361215"/>
        <c:axId val="1672354495"/>
      </c:lineChart>
      <c:catAx>
        <c:axId val="167236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54495"/>
        <c:crosses val="autoZero"/>
        <c:auto val="1"/>
        <c:lblAlgn val="ctr"/>
        <c:lblOffset val="100"/>
        <c:noMultiLvlLbl val="0"/>
      </c:catAx>
      <c:valAx>
        <c:axId val="167235449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6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final.xlsx]Pivot!PivotTable3</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Top 3 Selling Product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Monitor</c:v>
                </c:pt>
                <c:pt idx="1">
                  <c:v>Printer</c:v>
                </c:pt>
                <c:pt idx="2">
                  <c:v>Scanner</c:v>
                </c:pt>
              </c:strCache>
            </c:strRef>
          </c:cat>
          <c:val>
            <c:numRef>
              <c:f>Pivot!$B$34:$B$37</c:f>
              <c:numCache>
                <c:formatCode>0.000</c:formatCode>
                <c:ptCount val="3"/>
                <c:pt idx="0">
                  <c:v>339000</c:v>
                </c:pt>
                <c:pt idx="1">
                  <c:v>934500</c:v>
                </c:pt>
                <c:pt idx="2">
                  <c:v>352200</c:v>
                </c:pt>
              </c:numCache>
            </c:numRef>
          </c:val>
          <c:extLst>
            <c:ext xmlns:c16="http://schemas.microsoft.com/office/drawing/2014/chart" uri="{C3380CC4-5D6E-409C-BE32-E72D297353CC}">
              <c16:uniqueId val="{00000000-60F6-4949-BAE9-DD56EB583CCA}"/>
            </c:ext>
          </c:extLst>
        </c:ser>
        <c:dLbls>
          <c:dLblPos val="outEnd"/>
          <c:showLegendKey val="0"/>
          <c:showVal val="1"/>
          <c:showCatName val="0"/>
          <c:showSerName val="0"/>
          <c:showPercent val="0"/>
          <c:showBubbleSize val="0"/>
        </c:dLbls>
        <c:gapWidth val="182"/>
        <c:axId val="1230397295"/>
        <c:axId val="1230397775"/>
      </c:barChart>
      <c:catAx>
        <c:axId val="1230397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97775"/>
        <c:crosses val="autoZero"/>
        <c:auto val="1"/>
        <c:lblAlgn val="ctr"/>
        <c:lblOffset val="100"/>
        <c:noMultiLvlLbl val="0"/>
      </c:catAx>
      <c:valAx>
        <c:axId val="1230397775"/>
        <c:scaling>
          <c:orientation val="minMax"/>
        </c:scaling>
        <c:delete val="1"/>
        <c:axPos val="b"/>
        <c:numFmt formatCode="0.000" sourceLinked="1"/>
        <c:majorTickMark val="out"/>
        <c:minorTickMark val="none"/>
        <c:tickLblPos val="nextTo"/>
        <c:crossAx val="1230397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final.xlsx]Pivot!PivotTable8</c:name>
    <c:fmtId val="6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Bottom 3 Selling Product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Pivot!$A$67:$A$70</c:f>
              <c:strCache>
                <c:ptCount val="3"/>
                <c:pt idx="0">
                  <c:v>Keyboard</c:v>
                </c:pt>
                <c:pt idx="1">
                  <c:v>Mouse</c:v>
                </c:pt>
                <c:pt idx="2">
                  <c:v>Speaker</c:v>
                </c:pt>
              </c:strCache>
            </c:strRef>
          </c:cat>
          <c:val>
            <c:numRef>
              <c:f>Pivot!$B$67:$B$70</c:f>
              <c:numCache>
                <c:formatCode>0.000</c:formatCode>
                <c:ptCount val="3"/>
                <c:pt idx="0">
                  <c:v>25320</c:v>
                </c:pt>
                <c:pt idx="1">
                  <c:v>66150</c:v>
                </c:pt>
                <c:pt idx="2">
                  <c:v>65400</c:v>
                </c:pt>
              </c:numCache>
            </c:numRef>
          </c:val>
          <c:extLst>
            <c:ext xmlns:c16="http://schemas.microsoft.com/office/drawing/2014/chart" uri="{C3380CC4-5D6E-409C-BE32-E72D297353CC}">
              <c16:uniqueId val="{00000000-1783-4589-9C85-E9D485D119F3}"/>
            </c:ext>
          </c:extLst>
        </c:ser>
        <c:dLbls>
          <c:dLblPos val="outEnd"/>
          <c:showLegendKey val="0"/>
          <c:showVal val="1"/>
          <c:showCatName val="0"/>
          <c:showSerName val="0"/>
          <c:showPercent val="0"/>
          <c:showBubbleSize val="0"/>
        </c:dLbls>
        <c:gapWidth val="150"/>
        <c:axId val="215175919"/>
        <c:axId val="215173999"/>
      </c:barChart>
      <c:catAx>
        <c:axId val="21517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73999"/>
        <c:crosses val="autoZero"/>
        <c:auto val="1"/>
        <c:lblAlgn val="ctr"/>
        <c:lblOffset val="100"/>
        <c:noMultiLvlLbl val="0"/>
      </c:catAx>
      <c:valAx>
        <c:axId val="215173999"/>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21517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final.xlsx]Pivot!PivotTable6</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Salesman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3.0555555555555555E-2"/>
          <c:y val="0.17171296296296298"/>
          <c:w val="0.93888888888888888"/>
          <c:h val="0.72088764946048411"/>
        </c:manualLayout>
      </c:layout>
      <c:lineChart>
        <c:grouping val="standard"/>
        <c:varyColors val="0"/>
        <c:ser>
          <c:idx val="0"/>
          <c:order val="0"/>
          <c:tx>
            <c:strRef>
              <c:f>Pivot!$B$91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BA95-46CC-A778-6963BEFD7778}"/>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BA95-46CC-A778-6963BEFD7778}"/>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BA95-46CC-A778-6963BEFD7778}"/>
              </c:ext>
            </c:extLst>
          </c:dPt>
          <c:cat>
            <c:strRef>
              <c:f>Pivot!$A$92:$A$98</c:f>
              <c:strCache>
                <c:ptCount val="6"/>
                <c:pt idx="0">
                  <c:v>Ajit Kumar</c:v>
                </c:pt>
                <c:pt idx="1">
                  <c:v>Amit</c:v>
                </c:pt>
                <c:pt idx="2">
                  <c:v>Chandu</c:v>
                </c:pt>
                <c:pt idx="3">
                  <c:v>Ramesh</c:v>
                </c:pt>
                <c:pt idx="4">
                  <c:v>Rohit Das</c:v>
                </c:pt>
                <c:pt idx="5">
                  <c:v>Siddhu</c:v>
                </c:pt>
              </c:strCache>
            </c:strRef>
          </c:cat>
          <c:val>
            <c:numRef>
              <c:f>Pivot!$B$92:$B$98</c:f>
              <c:numCache>
                <c:formatCode>0.000</c:formatCode>
                <c:ptCount val="6"/>
                <c:pt idx="0">
                  <c:v>386030</c:v>
                </c:pt>
                <c:pt idx="1">
                  <c:v>184690</c:v>
                </c:pt>
                <c:pt idx="2">
                  <c:v>125600</c:v>
                </c:pt>
                <c:pt idx="3">
                  <c:v>139880</c:v>
                </c:pt>
                <c:pt idx="4">
                  <c:v>394410</c:v>
                </c:pt>
                <c:pt idx="5">
                  <c:v>551960</c:v>
                </c:pt>
              </c:numCache>
            </c:numRef>
          </c:val>
          <c:smooth val="0"/>
          <c:extLst>
            <c:ext xmlns:c16="http://schemas.microsoft.com/office/drawing/2014/chart" uri="{C3380CC4-5D6E-409C-BE32-E72D297353CC}">
              <c16:uniqueId val="{00000000-C445-4B29-B62B-E0983568DA12}"/>
            </c:ext>
          </c:extLst>
        </c:ser>
        <c:dLbls>
          <c:showLegendKey val="0"/>
          <c:showVal val="0"/>
          <c:showCatName val="0"/>
          <c:showSerName val="0"/>
          <c:showPercent val="0"/>
          <c:showBubbleSize val="0"/>
        </c:dLbls>
        <c:marker val="1"/>
        <c:smooth val="0"/>
        <c:axId val="361034368"/>
        <c:axId val="361037248"/>
      </c:lineChart>
      <c:catAx>
        <c:axId val="36103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037248"/>
        <c:crosses val="autoZero"/>
        <c:auto val="1"/>
        <c:lblAlgn val="ctr"/>
        <c:lblOffset val="100"/>
        <c:noMultiLvlLbl val="0"/>
      </c:catAx>
      <c:valAx>
        <c:axId val="36103724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03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final.xlsx]Pivot!PivotTable10</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3 Salesman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Pivot!$B$102</c:f>
              <c:strCache>
                <c:ptCount val="1"/>
                <c:pt idx="0">
                  <c:v>Total</c:v>
                </c:pt>
              </c:strCache>
            </c:strRef>
          </c:tx>
          <c:spPr>
            <a:solidFill>
              <a:schemeClr val="accent5">
                <a:lumMod val="75000"/>
              </a:schemeClr>
            </a:solidFill>
            <a:ln>
              <a:solidFill>
                <a:schemeClr val="accent4"/>
              </a:solidFill>
            </a:ln>
            <a:effectLst/>
          </c:spPr>
          <c:invertIfNegative val="0"/>
          <c:cat>
            <c:strRef>
              <c:f>Pivot!$A$103:$A$106</c:f>
              <c:strCache>
                <c:ptCount val="3"/>
                <c:pt idx="0">
                  <c:v>Ajit Kumar</c:v>
                </c:pt>
                <c:pt idx="1">
                  <c:v>Rohit Das</c:v>
                </c:pt>
                <c:pt idx="2">
                  <c:v>Siddhu</c:v>
                </c:pt>
              </c:strCache>
            </c:strRef>
          </c:cat>
          <c:val>
            <c:numRef>
              <c:f>Pivot!$B$103:$B$106</c:f>
              <c:numCache>
                <c:formatCode>0.000</c:formatCode>
                <c:ptCount val="3"/>
                <c:pt idx="0">
                  <c:v>386030</c:v>
                </c:pt>
                <c:pt idx="1">
                  <c:v>394410</c:v>
                </c:pt>
                <c:pt idx="2">
                  <c:v>551960</c:v>
                </c:pt>
              </c:numCache>
            </c:numRef>
          </c:val>
          <c:extLst>
            <c:ext xmlns:c16="http://schemas.microsoft.com/office/drawing/2014/chart" uri="{C3380CC4-5D6E-409C-BE32-E72D297353CC}">
              <c16:uniqueId val="{00000000-C83F-4416-8C10-39843E88FEF3}"/>
            </c:ext>
          </c:extLst>
        </c:ser>
        <c:dLbls>
          <c:showLegendKey val="0"/>
          <c:showVal val="0"/>
          <c:showCatName val="0"/>
          <c:showSerName val="0"/>
          <c:showPercent val="0"/>
          <c:showBubbleSize val="0"/>
        </c:dLbls>
        <c:gapWidth val="182"/>
        <c:axId val="510188768"/>
        <c:axId val="510190208"/>
      </c:barChart>
      <c:catAx>
        <c:axId val="51018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90208"/>
        <c:crosses val="autoZero"/>
        <c:auto val="1"/>
        <c:lblAlgn val="ctr"/>
        <c:lblOffset val="100"/>
        <c:noMultiLvlLbl val="0"/>
      </c:catAx>
      <c:valAx>
        <c:axId val="510190208"/>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5101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final.xlsx]Pivot!PivotTable11</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Bottom 3 Salseman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Pivot!$B$110</c:f>
              <c:strCache>
                <c:ptCount val="1"/>
                <c:pt idx="0">
                  <c:v>Total</c:v>
                </c:pt>
              </c:strCache>
            </c:strRef>
          </c:tx>
          <c:spPr>
            <a:solidFill>
              <a:schemeClr val="accent5">
                <a:lumMod val="75000"/>
              </a:schemeClr>
            </a:solidFill>
            <a:ln>
              <a:solidFill>
                <a:schemeClr val="accent4"/>
              </a:solidFill>
            </a:ln>
            <a:effectLst/>
          </c:spPr>
          <c:invertIfNegative val="0"/>
          <c:cat>
            <c:strRef>
              <c:f>Pivot!$A$111:$A$114</c:f>
              <c:strCache>
                <c:ptCount val="3"/>
                <c:pt idx="0">
                  <c:v>Amit</c:v>
                </c:pt>
                <c:pt idx="1">
                  <c:v>Chandu</c:v>
                </c:pt>
                <c:pt idx="2">
                  <c:v>Ramesh</c:v>
                </c:pt>
              </c:strCache>
            </c:strRef>
          </c:cat>
          <c:val>
            <c:numRef>
              <c:f>Pivot!$B$111:$B$114</c:f>
              <c:numCache>
                <c:formatCode>0.000</c:formatCode>
                <c:ptCount val="3"/>
                <c:pt idx="0">
                  <c:v>184690</c:v>
                </c:pt>
                <c:pt idx="1">
                  <c:v>125600</c:v>
                </c:pt>
                <c:pt idx="2">
                  <c:v>139880</c:v>
                </c:pt>
              </c:numCache>
            </c:numRef>
          </c:val>
          <c:extLst>
            <c:ext xmlns:c16="http://schemas.microsoft.com/office/drawing/2014/chart" uri="{C3380CC4-5D6E-409C-BE32-E72D297353CC}">
              <c16:uniqueId val="{00000000-9EC9-48F8-A3F6-D2CBAD6D99A7}"/>
            </c:ext>
          </c:extLst>
        </c:ser>
        <c:dLbls>
          <c:showLegendKey val="0"/>
          <c:showVal val="0"/>
          <c:showCatName val="0"/>
          <c:showSerName val="0"/>
          <c:showPercent val="0"/>
          <c:showBubbleSize val="0"/>
        </c:dLbls>
        <c:gapWidth val="219"/>
        <c:axId val="510219488"/>
        <c:axId val="510236288"/>
      </c:barChart>
      <c:catAx>
        <c:axId val="51021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236288"/>
        <c:crosses val="autoZero"/>
        <c:auto val="1"/>
        <c:lblAlgn val="ctr"/>
        <c:lblOffset val="100"/>
        <c:noMultiLvlLbl val="0"/>
      </c:catAx>
      <c:valAx>
        <c:axId val="510236288"/>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51021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Product!A1"/><Relationship Id="rId3" Type="http://schemas.openxmlformats.org/officeDocument/2006/relationships/chart" Target="../charts/chart10.xml"/><Relationship Id="rId7" Type="http://schemas.openxmlformats.org/officeDocument/2006/relationships/hyperlink" Target="#Salesman!A1"/><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image" Target="../media/image5.png"/><Relationship Id="rId5" Type="http://schemas.openxmlformats.org/officeDocument/2006/relationships/hyperlink" Target="#Dashboard!A1"/><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hyperlink" Target="#Dashboard!A1"/><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hyperlink" Target="#Salesman!A1"/><Relationship Id="rId10" Type="http://schemas.openxmlformats.org/officeDocument/2006/relationships/chart" Target="../charts/chart14.xml"/><Relationship Id="rId4" Type="http://schemas.openxmlformats.org/officeDocument/2006/relationships/hyperlink" Target="#About!A1"/><Relationship Id="rId9"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hyperlink" Target="#Dashboard!A1"/><Relationship Id="rId7" Type="http://schemas.openxmlformats.org/officeDocument/2006/relationships/chart" Target="../charts/chart1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hyperlink" Target="#Product!A1"/><Relationship Id="rId10" Type="http://schemas.openxmlformats.org/officeDocument/2006/relationships/image" Target="../media/image7.svg"/><Relationship Id="rId4" Type="http://schemas.openxmlformats.org/officeDocument/2006/relationships/hyperlink" Target="#About!A1"/><Relationship Id="rId9"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hyperlink" Target="#Dashboard!A1"/><Relationship Id="rId7"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hyperlink" Target="#Product!A1"/><Relationship Id="rId4" Type="http://schemas.openxmlformats.org/officeDocument/2006/relationships/hyperlink" Target="#Salesman!A1"/><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15</xdr:col>
      <xdr:colOff>191085</xdr:colOff>
      <xdr:row>1</xdr:row>
      <xdr:rowOff>98140</xdr:rowOff>
    </xdr:from>
    <xdr:to>
      <xdr:col>21</xdr:col>
      <xdr:colOff>108251</xdr:colOff>
      <xdr:row>9</xdr:row>
      <xdr:rowOff>11810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58582A0D-B81F-5A8A-84CE-3ED95E31CF8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60536" y="282360"/>
              <a:ext cx="3584814" cy="13874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80637</xdr:colOff>
      <xdr:row>1</xdr:row>
      <xdr:rowOff>20517</xdr:rowOff>
    </xdr:from>
    <xdr:to>
      <xdr:col>14</xdr:col>
      <xdr:colOff>435256</xdr:colOff>
      <xdr:row>6</xdr:row>
      <xdr:rowOff>114116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4A2ED53-3F1B-058D-0BFD-A9F0D839AB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04989" y="204737"/>
              <a:ext cx="2188445" cy="1014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458512</xdr:colOff>
      <xdr:row>10</xdr:row>
      <xdr:rowOff>50403</xdr:rowOff>
    </xdr:from>
    <xdr:to>
      <xdr:col>18</xdr:col>
      <xdr:colOff>412801</xdr:colOff>
      <xdr:row>13</xdr:row>
      <xdr:rowOff>137607</xdr:rowOff>
    </xdr:to>
    <mc:AlternateContent xmlns:mc="http://schemas.openxmlformats.org/markup-compatibility/2006" xmlns:a14="http://schemas.microsoft.com/office/drawing/2010/main">
      <mc:Choice Requires="a14">
        <xdr:graphicFrame macro="">
          <xdr:nvGraphicFramePr>
            <xdr:cNvPr id="5" name="Item">
              <a:extLst>
                <a:ext uri="{FF2B5EF4-FFF2-40B4-BE49-F238E27FC236}">
                  <a16:creationId xmlns:a16="http://schemas.microsoft.com/office/drawing/2014/main" id="{66B7B3D3-13EF-822A-B697-ABDCA59BC73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594138" y="1892601"/>
              <a:ext cx="3621938" cy="639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170937</xdr:colOff>
      <xdr:row>0</xdr:row>
      <xdr:rowOff>25161</xdr:rowOff>
    </xdr:from>
    <xdr:to>
      <xdr:col>9</xdr:col>
      <xdr:colOff>409916</xdr:colOff>
      <xdr:row>14</xdr:row>
      <xdr:rowOff>159418</xdr:rowOff>
    </xdr:to>
    <xdr:graphicFrame macro="">
      <xdr:nvGraphicFramePr>
        <xdr:cNvPr id="6" name="Chart 5">
          <a:extLst>
            <a:ext uri="{FF2B5EF4-FFF2-40B4-BE49-F238E27FC236}">
              <a16:creationId xmlns:a16="http://schemas.microsoft.com/office/drawing/2014/main" id="{12C139D9-ECCF-CE46-BDBF-F4D0611B6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32658</xdr:colOff>
      <xdr:row>16</xdr:row>
      <xdr:rowOff>146958</xdr:rowOff>
    </xdr:from>
    <xdr:to>
      <xdr:col>9</xdr:col>
      <xdr:colOff>239486</xdr:colOff>
      <xdr:row>27</xdr:row>
      <xdr:rowOff>87086</xdr:rowOff>
    </xdr:to>
    <xdr:graphicFrame macro="">
      <xdr:nvGraphicFramePr>
        <xdr:cNvPr id="7" name="Chart 6">
          <a:extLst>
            <a:ext uri="{FF2B5EF4-FFF2-40B4-BE49-F238E27FC236}">
              <a16:creationId xmlns:a16="http://schemas.microsoft.com/office/drawing/2014/main" id="{BAAFEF88-41E3-781F-6A0F-E421E1DFA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228600</xdr:colOff>
      <xdr:row>30</xdr:row>
      <xdr:rowOff>76200</xdr:rowOff>
    </xdr:from>
    <xdr:to>
      <xdr:col>7</xdr:col>
      <xdr:colOff>594360</xdr:colOff>
      <xdr:row>42</xdr:row>
      <xdr:rowOff>15240</xdr:rowOff>
    </xdr:to>
    <xdr:graphicFrame macro="">
      <xdr:nvGraphicFramePr>
        <xdr:cNvPr id="8" name="Chart 7">
          <a:extLst>
            <a:ext uri="{FF2B5EF4-FFF2-40B4-BE49-F238E27FC236}">
              <a16:creationId xmlns:a16="http://schemas.microsoft.com/office/drawing/2014/main" id="{DB386CA2-C06E-16F2-AFB0-14AC0C435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477297</xdr:colOff>
      <xdr:row>49</xdr:row>
      <xdr:rowOff>125605</xdr:rowOff>
    </xdr:from>
    <xdr:to>
      <xdr:col>7</xdr:col>
      <xdr:colOff>653144</xdr:colOff>
      <xdr:row>62</xdr:row>
      <xdr:rowOff>77876</xdr:rowOff>
    </xdr:to>
    <xdr:graphicFrame macro="">
      <xdr:nvGraphicFramePr>
        <xdr:cNvPr id="4" name="Chart 3">
          <a:extLst>
            <a:ext uri="{FF2B5EF4-FFF2-40B4-BE49-F238E27FC236}">
              <a16:creationId xmlns:a16="http://schemas.microsoft.com/office/drawing/2014/main" id="{E493C5F1-F5E5-0742-5B15-38BAEDE92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293078</xdr:colOff>
      <xdr:row>64</xdr:row>
      <xdr:rowOff>117232</xdr:rowOff>
    </xdr:from>
    <xdr:to>
      <xdr:col>7</xdr:col>
      <xdr:colOff>25122</xdr:colOff>
      <xdr:row>72</xdr:row>
      <xdr:rowOff>133978</xdr:rowOff>
    </xdr:to>
    <xdr:graphicFrame macro="">
      <xdr:nvGraphicFramePr>
        <xdr:cNvPr id="9" name="Chart 8">
          <a:extLst>
            <a:ext uri="{FF2B5EF4-FFF2-40B4-BE49-F238E27FC236}">
              <a16:creationId xmlns:a16="http://schemas.microsoft.com/office/drawing/2014/main" id="{DF9ABD8D-356D-9646-9262-2FCF64B05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159098</xdr:colOff>
      <xdr:row>77</xdr:row>
      <xdr:rowOff>58616</xdr:rowOff>
    </xdr:from>
    <xdr:to>
      <xdr:col>6</xdr:col>
      <xdr:colOff>410307</xdr:colOff>
      <xdr:row>83</xdr:row>
      <xdr:rowOff>159099</xdr:rowOff>
    </xdr:to>
    <xdr:graphicFrame macro="">
      <xdr:nvGraphicFramePr>
        <xdr:cNvPr id="10" name="Chart 9">
          <a:extLst>
            <a:ext uri="{FF2B5EF4-FFF2-40B4-BE49-F238E27FC236}">
              <a16:creationId xmlns:a16="http://schemas.microsoft.com/office/drawing/2014/main" id="{36DF5AF8-4408-5866-C5F6-18F7629E1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326571</xdr:colOff>
      <xdr:row>89</xdr:row>
      <xdr:rowOff>142353</xdr:rowOff>
    </xdr:from>
    <xdr:to>
      <xdr:col>6</xdr:col>
      <xdr:colOff>293076</xdr:colOff>
      <xdr:row>98</xdr:row>
      <xdr:rowOff>153239</xdr:rowOff>
    </xdr:to>
    <xdr:graphicFrame macro="">
      <xdr:nvGraphicFramePr>
        <xdr:cNvPr id="11" name="Chart 10">
          <a:extLst>
            <a:ext uri="{FF2B5EF4-FFF2-40B4-BE49-F238E27FC236}">
              <a16:creationId xmlns:a16="http://schemas.microsoft.com/office/drawing/2014/main" id="{E205515D-99AF-1359-B90F-FD8824912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150725</xdr:colOff>
      <xdr:row>100</xdr:row>
      <xdr:rowOff>108857</xdr:rowOff>
    </xdr:from>
    <xdr:to>
      <xdr:col>6</xdr:col>
      <xdr:colOff>360066</xdr:colOff>
      <xdr:row>106</xdr:row>
      <xdr:rowOff>144863</xdr:rowOff>
    </xdr:to>
    <xdr:graphicFrame macro="">
      <xdr:nvGraphicFramePr>
        <xdr:cNvPr id="12" name="Chart 11">
          <a:extLst>
            <a:ext uri="{FF2B5EF4-FFF2-40B4-BE49-F238E27FC236}">
              <a16:creationId xmlns:a16="http://schemas.microsoft.com/office/drawing/2014/main" id="{F7172238-562B-AAF5-047C-29CD3A542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100483</xdr:colOff>
      <xdr:row>108</xdr:row>
      <xdr:rowOff>150726</xdr:rowOff>
    </xdr:from>
    <xdr:to>
      <xdr:col>6</xdr:col>
      <xdr:colOff>435428</xdr:colOff>
      <xdr:row>114</xdr:row>
      <xdr:rowOff>25121</xdr:rowOff>
    </xdr:to>
    <xdr:graphicFrame macro="">
      <xdr:nvGraphicFramePr>
        <xdr:cNvPr id="13" name="Chart 12">
          <a:extLst>
            <a:ext uri="{FF2B5EF4-FFF2-40B4-BE49-F238E27FC236}">
              <a16:creationId xmlns:a16="http://schemas.microsoft.com/office/drawing/2014/main" id="{451DB3CE-9C66-A160-2371-2CC96486A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11373</xdr:colOff>
      <xdr:row>0</xdr:row>
      <xdr:rowOff>34120</xdr:rowOff>
    </xdr:from>
    <xdr:to>
      <xdr:col>26</xdr:col>
      <xdr:colOff>11373</xdr:colOff>
      <xdr:row>34</xdr:row>
      <xdr:rowOff>78727</xdr:rowOff>
    </xdr:to>
    <xdr:sp macro="" textlink="">
      <xdr:nvSpPr>
        <xdr:cNvPr id="2" name="Rectangle 1">
          <a:extLst>
            <a:ext uri="{FF2B5EF4-FFF2-40B4-BE49-F238E27FC236}">
              <a16:creationId xmlns:a16="http://schemas.microsoft.com/office/drawing/2014/main" id="{7CAB5393-E937-4D0C-BD0B-9678AD751052}"/>
            </a:ext>
          </a:extLst>
        </xdr:cNvPr>
        <xdr:cNvSpPr/>
      </xdr:nvSpPr>
      <xdr:spPr>
        <a:xfrm>
          <a:off x="11373" y="34120"/>
          <a:ext cx="15967881" cy="6231592"/>
        </a:xfrm>
        <a:prstGeom prst="rect">
          <a:avLst/>
        </a:prstGeom>
        <a:solidFill>
          <a:schemeClr val="accent5">
            <a:lumMod val="50000"/>
          </a:schemeClr>
        </a:solid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410966</xdr:colOff>
      <xdr:row>1</xdr:row>
      <xdr:rowOff>7619</xdr:rowOff>
    </xdr:from>
    <xdr:to>
      <xdr:col>25</xdr:col>
      <xdr:colOff>548639</xdr:colOff>
      <xdr:row>34</xdr:row>
      <xdr:rowOff>8560</xdr:rowOff>
    </xdr:to>
    <xdr:sp macro="" textlink="">
      <xdr:nvSpPr>
        <xdr:cNvPr id="3" name="Rectangle 2">
          <a:extLst>
            <a:ext uri="{FF2B5EF4-FFF2-40B4-BE49-F238E27FC236}">
              <a16:creationId xmlns:a16="http://schemas.microsoft.com/office/drawing/2014/main" id="{3FD01FB2-FD67-4851-B863-F6375DE38583}"/>
            </a:ext>
          </a:extLst>
        </xdr:cNvPr>
        <xdr:cNvSpPr/>
      </xdr:nvSpPr>
      <xdr:spPr>
        <a:xfrm>
          <a:off x="1630166" y="190499"/>
          <a:ext cx="14158473" cy="6035981"/>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495809</xdr:colOff>
      <xdr:row>13</xdr:row>
      <xdr:rowOff>9969</xdr:rowOff>
    </xdr:from>
    <xdr:to>
      <xdr:col>25</xdr:col>
      <xdr:colOff>446946</xdr:colOff>
      <xdr:row>15</xdr:row>
      <xdr:rowOff>138816</xdr:rowOff>
    </xdr:to>
    <xdr:sp macro="" textlink="">
      <xdr:nvSpPr>
        <xdr:cNvPr id="4" name="Rectangle: Rounded Corners 3">
          <a:extLst>
            <a:ext uri="{FF2B5EF4-FFF2-40B4-BE49-F238E27FC236}">
              <a16:creationId xmlns:a16="http://schemas.microsoft.com/office/drawing/2014/main" id="{81B0E25B-4ED0-4AB9-8A38-610FC26D9667}"/>
            </a:ext>
          </a:extLst>
        </xdr:cNvPr>
        <xdr:cNvSpPr/>
      </xdr:nvSpPr>
      <xdr:spPr>
        <a:xfrm>
          <a:off x="1722016" y="2401072"/>
          <a:ext cx="14052516" cy="49671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bg1"/>
              </a:solidFill>
              <a:latin typeface="Aptos Narrow" panose="020B0004020202020204" pitchFamily="34" charset="0"/>
            </a:rPr>
            <a:t>Analytics</a:t>
          </a:r>
        </a:p>
      </xdr:txBody>
    </xdr:sp>
    <xdr:clientData/>
  </xdr:twoCellAnchor>
  <xdr:twoCellAnchor editAs="oneCell">
    <xdr:from>
      <xdr:col>12</xdr:col>
      <xdr:colOff>192267</xdr:colOff>
      <xdr:row>12</xdr:row>
      <xdr:rowOff>157764</xdr:rowOff>
    </xdr:from>
    <xdr:to>
      <xdr:col>13</xdr:col>
      <xdr:colOff>206958</xdr:colOff>
      <xdr:row>15</xdr:row>
      <xdr:rowOff>139404</xdr:rowOff>
    </xdr:to>
    <xdr:pic>
      <xdr:nvPicPr>
        <xdr:cNvPr id="5" name="Graphic 4" descr="Bar chart with solid fill">
          <a:extLst>
            <a:ext uri="{FF2B5EF4-FFF2-40B4-BE49-F238E27FC236}">
              <a16:creationId xmlns:a16="http://schemas.microsoft.com/office/drawing/2014/main" id="{0B17D47A-C5A0-4823-B5E5-4CCAA88A0E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07467" y="2352324"/>
          <a:ext cx="624291" cy="530280"/>
        </a:xfrm>
        <a:prstGeom prst="rect">
          <a:avLst/>
        </a:prstGeom>
      </xdr:spPr>
    </xdr:pic>
    <xdr:clientData/>
  </xdr:twoCellAnchor>
  <xdr:twoCellAnchor>
    <xdr:from>
      <xdr:col>17</xdr:col>
      <xdr:colOff>553536</xdr:colOff>
      <xdr:row>16</xdr:row>
      <xdr:rowOff>145667</xdr:rowOff>
    </xdr:from>
    <xdr:to>
      <xdr:col>25</xdr:col>
      <xdr:colOff>134215</xdr:colOff>
      <xdr:row>22</xdr:row>
      <xdr:rowOff>133176</xdr:rowOff>
    </xdr:to>
    <xdr:sp macro="" textlink="">
      <xdr:nvSpPr>
        <xdr:cNvPr id="6" name="Rectangle: Rounded Corners 5">
          <a:extLst>
            <a:ext uri="{FF2B5EF4-FFF2-40B4-BE49-F238E27FC236}">
              <a16:creationId xmlns:a16="http://schemas.microsoft.com/office/drawing/2014/main" id="{0B701A10-2EA3-4E48-BF34-83DFA302328B}"/>
            </a:ext>
          </a:extLst>
        </xdr:cNvPr>
        <xdr:cNvSpPr/>
      </xdr:nvSpPr>
      <xdr:spPr>
        <a:xfrm>
          <a:off x="10916736" y="3041267"/>
          <a:ext cx="4457479" cy="1073359"/>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418993</xdr:colOff>
      <xdr:row>16</xdr:row>
      <xdr:rowOff>150083</xdr:rowOff>
    </xdr:from>
    <xdr:to>
      <xdr:col>25</xdr:col>
      <xdr:colOff>113616</xdr:colOff>
      <xdr:row>22</xdr:row>
      <xdr:rowOff>136482</xdr:rowOff>
    </xdr:to>
    <xdr:sp macro="" textlink="">
      <xdr:nvSpPr>
        <xdr:cNvPr id="8" name="Rectangle: Rounded Corners 7">
          <a:extLst>
            <a:ext uri="{FF2B5EF4-FFF2-40B4-BE49-F238E27FC236}">
              <a16:creationId xmlns:a16="http://schemas.microsoft.com/office/drawing/2014/main" id="{ED428411-9DDF-4E37-A67D-753DB2D960AE}"/>
            </a:ext>
          </a:extLst>
        </xdr:cNvPr>
        <xdr:cNvSpPr/>
      </xdr:nvSpPr>
      <xdr:spPr>
        <a:xfrm>
          <a:off x="11391793" y="3045683"/>
          <a:ext cx="3961823" cy="107224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504569</xdr:colOff>
      <xdr:row>1</xdr:row>
      <xdr:rowOff>85859</xdr:rowOff>
    </xdr:from>
    <xdr:to>
      <xdr:col>21</xdr:col>
      <xdr:colOff>4855</xdr:colOff>
      <xdr:row>8</xdr:row>
      <xdr:rowOff>165019</xdr:rowOff>
    </xdr:to>
    <mc:AlternateContent xmlns:mc="http://schemas.openxmlformats.org/markup-compatibility/2006" xmlns:tsle="http://schemas.microsoft.com/office/drawing/2012/timeslicer">
      <mc:Choice Requires="tsle">
        <xdr:graphicFrame macro="">
          <xdr:nvGraphicFramePr>
            <xdr:cNvPr id="10" name="Date 4">
              <a:extLst>
                <a:ext uri="{FF2B5EF4-FFF2-40B4-BE49-F238E27FC236}">
                  <a16:creationId xmlns:a16="http://schemas.microsoft.com/office/drawing/2014/main" id="{23755617-3F27-43EB-8AC6-27683C403950}"/>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730776" y="269790"/>
              <a:ext cx="11149251" cy="13666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57872</xdr:colOff>
      <xdr:row>1</xdr:row>
      <xdr:rowOff>75126</xdr:rowOff>
    </xdr:from>
    <xdr:to>
      <xdr:col>25</xdr:col>
      <xdr:colOff>444499</xdr:colOff>
      <xdr:row>9</xdr:row>
      <xdr:rowOff>0</xdr:rowOff>
    </xdr:to>
    <mc:AlternateContent xmlns:mc="http://schemas.openxmlformats.org/markup-compatibility/2006" xmlns:a14="http://schemas.microsoft.com/office/drawing/2010/main">
      <mc:Choice Requires="a14">
        <xdr:graphicFrame macro="">
          <xdr:nvGraphicFramePr>
            <xdr:cNvPr id="11" name="Region 4">
              <a:extLst>
                <a:ext uri="{FF2B5EF4-FFF2-40B4-BE49-F238E27FC236}">
                  <a16:creationId xmlns:a16="http://schemas.microsoft.com/office/drawing/2014/main" id="{0CF50B95-77EA-4007-8434-9F19DD153549}"/>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2933044" y="259057"/>
              <a:ext cx="2839041" cy="1396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504568</xdr:colOff>
      <xdr:row>9</xdr:row>
      <xdr:rowOff>32951</xdr:rowOff>
    </xdr:from>
    <xdr:to>
      <xdr:col>25</xdr:col>
      <xdr:colOff>451969</xdr:colOff>
      <xdr:row>12</xdr:row>
      <xdr:rowOff>89747</xdr:rowOff>
    </xdr:to>
    <mc:AlternateContent xmlns:mc="http://schemas.openxmlformats.org/markup-compatibility/2006" xmlns:a14="http://schemas.microsoft.com/office/drawing/2010/main">
      <mc:Choice Requires="a14">
        <xdr:graphicFrame macro="">
          <xdr:nvGraphicFramePr>
            <xdr:cNvPr id="13" name="Item 4">
              <a:extLst>
                <a:ext uri="{FF2B5EF4-FFF2-40B4-BE49-F238E27FC236}">
                  <a16:creationId xmlns:a16="http://schemas.microsoft.com/office/drawing/2014/main" id="{443190EF-8ED3-4BBB-9751-D57F7C5A21E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730775" y="1688330"/>
              <a:ext cx="14048780" cy="60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310446</xdr:colOff>
      <xdr:row>23</xdr:row>
      <xdr:rowOff>123825</xdr:rowOff>
    </xdr:from>
    <xdr:to>
      <xdr:col>25</xdr:col>
      <xdr:colOff>452176</xdr:colOff>
      <xdr:row>33</xdr:row>
      <xdr:rowOff>96295</xdr:rowOff>
    </xdr:to>
    <xdr:graphicFrame macro="">
      <xdr:nvGraphicFramePr>
        <xdr:cNvPr id="15" name="Chart 14">
          <a:extLst>
            <a:ext uri="{FF2B5EF4-FFF2-40B4-BE49-F238E27FC236}">
              <a16:creationId xmlns:a16="http://schemas.microsoft.com/office/drawing/2014/main" id="{7F28D255-02D2-4108-A8E7-9431802DC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17</xdr:row>
      <xdr:rowOff>0</xdr:rowOff>
    </xdr:from>
    <xdr:to>
      <xdr:col>17</xdr:col>
      <xdr:colOff>162757</xdr:colOff>
      <xdr:row>33</xdr:row>
      <xdr:rowOff>69737</xdr:rowOff>
    </xdr:to>
    <xdr:graphicFrame macro="">
      <xdr:nvGraphicFramePr>
        <xdr:cNvPr id="16" name="Chart 15">
          <a:extLst>
            <a:ext uri="{FF2B5EF4-FFF2-40B4-BE49-F238E27FC236}">
              <a16:creationId xmlns:a16="http://schemas.microsoft.com/office/drawing/2014/main" id="{2FC8F22D-1655-4846-A879-1AEA41710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312276</xdr:colOff>
      <xdr:row>18</xdr:row>
      <xdr:rowOff>97387</xdr:rowOff>
    </xdr:from>
    <xdr:to>
      <xdr:col>23</xdr:col>
      <xdr:colOff>194634</xdr:colOff>
      <xdr:row>21</xdr:row>
      <xdr:rowOff>147482</xdr:rowOff>
    </xdr:to>
    <xdr:sp macro="" textlink="Pivot!B47">
      <xdr:nvSpPr>
        <xdr:cNvPr id="17" name="Rectangle 16">
          <a:extLst>
            <a:ext uri="{FF2B5EF4-FFF2-40B4-BE49-F238E27FC236}">
              <a16:creationId xmlns:a16="http://schemas.microsoft.com/office/drawing/2014/main" id="{11CF0A82-2530-4AAF-9F03-9693709715DA}"/>
            </a:ext>
          </a:extLst>
        </xdr:cNvPr>
        <xdr:cNvSpPr/>
      </xdr:nvSpPr>
      <xdr:spPr>
        <a:xfrm>
          <a:off x="12504276" y="3354937"/>
          <a:ext cx="1711158" cy="59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3A095C-CD2A-4DA7-8479-75A6512010CA}" type="TxLink">
            <a:rPr lang="en-US" sz="2800" b="1" i="0" u="none" strike="noStrike">
              <a:solidFill>
                <a:srgbClr val="000000"/>
              </a:solidFill>
              <a:latin typeface="Calibri"/>
              <a:ea typeface="Calibri"/>
              <a:cs typeface="Calibri"/>
            </a:rPr>
            <a:pPr algn="ctr"/>
            <a:t>1782570</a:t>
          </a:fld>
          <a:endParaRPr lang="en-IN" sz="2800" b="1"/>
        </a:p>
      </xdr:txBody>
    </xdr:sp>
    <xdr:clientData/>
  </xdr:twoCellAnchor>
  <xdr:oneCellAnchor>
    <xdr:from>
      <xdr:col>20</xdr:col>
      <xdr:colOff>439362</xdr:colOff>
      <xdr:row>16</xdr:row>
      <xdr:rowOff>97367</xdr:rowOff>
    </xdr:from>
    <xdr:ext cx="1517899" cy="354823"/>
    <xdr:sp macro="" textlink="">
      <xdr:nvSpPr>
        <xdr:cNvPr id="19" name="TextBox 18">
          <a:extLst>
            <a:ext uri="{FF2B5EF4-FFF2-40B4-BE49-F238E27FC236}">
              <a16:creationId xmlns:a16="http://schemas.microsoft.com/office/drawing/2014/main" id="{3BEAA83B-AA06-4F0C-A076-A4D6FA46BC5B}"/>
            </a:ext>
          </a:extLst>
        </xdr:cNvPr>
        <xdr:cNvSpPr txBox="1"/>
      </xdr:nvSpPr>
      <xdr:spPr>
        <a:xfrm>
          <a:off x="12631362" y="2992967"/>
          <a:ext cx="1517899" cy="354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800"/>
            <a:t>Total Sales</a:t>
          </a:r>
        </a:p>
      </xdr:txBody>
    </xdr:sp>
    <xdr:clientData/>
  </xdr:oneCellAnchor>
  <xdr:twoCellAnchor>
    <xdr:from>
      <xdr:col>0</xdr:col>
      <xdr:colOff>140139</xdr:colOff>
      <xdr:row>14</xdr:row>
      <xdr:rowOff>56061</xdr:rowOff>
    </xdr:from>
    <xdr:to>
      <xdr:col>2</xdr:col>
      <xdr:colOff>332828</xdr:colOff>
      <xdr:row>16</xdr:row>
      <xdr:rowOff>96344</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A325FB4F-38F7-4F06-EF54-0AEB6E289B37}"/>
            </a:ext>
          </a:extLst>
        </xdr:cNvPr>
        <xdr:cNvSpPr/>
      </xdr:nvSpPr>
      <xdr:spPr>
        <a:xfrm>
          <a:off x="140139" y="2631095"/>
          <a:ext cx="1418896" cy="408146"/>
        </a:xfrm>
        <a:prstGeom prst="roundRect">
          <a:avLst/>
        </a:prstGeom>
        <a:solidFill>
          <a:schemeClr val="accent5">
            <a:lumMod val="60000"/>
            <a:lumOff val="4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lvl="0" algn="ctr"/>
          <a:r>
            <a:rPr lang="en-IN" sz="1400" b="1">
              <a:latin typeface="Microsoft JhengHei UI Light" panose="020B0304030504040204" pitchFamily="34" charset="-120"/>
              <a:ea typeface="Microsoft JhengHei UI Light" panose="020B0304030504040204" pitchFamily="34" charset="-120"/>
            </a:rPr>
            <a:t>DASHBOARD</a:t>
          </a:r>
        </a:p>
      </xdr:txBody>
    </xdr:sp>
    <xdr:clientData/>
  </xdr:twoCellAnchor>
  <xdr:twoCellAnchor>
    <xdr:from>
      <xdr:col>0</xdr:col>
      <xdr:colOff>152395</xdr:colOff>
      <xdr:row>22</xdr:row>
      <xdr:rowOff>147149</xdr:rowOff>
    </xdr:from>
    <xdr:to>
      <xdr:col>2</xdr:col>
      <xdr:colOff>345084</xdr:colOff>
      <xdr:row>24</xdr:row>
      <xdr:rowOff>131380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B8D03B2F-A433-D931-977B-7858F4C3A7B0}"/>
            </a:ext>
          </a:extLst>
        </xdr:cNvPr>
        <xdr:cNvSpPr/>
      </xdr:nvSpPr>
      <xdr:spPr>
        <a:xfrm>
          <a:off x="152395" y="4193632"/>
          <a:ext cx="1418896" cy="352093"/>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ABOUT</a:t>
          </a:r>
        </a:p>
      </xdr:txBody>
    </xdr:sp>
    <xdr:clientData/>
  </xdr:twoCellAnchor>
  <xdr:twoCellAnchor>
    <xdr:from>
      <xdr:col>0</xdr:col>
      <xdr:colOff>138379</xdr:colOff>
      <xdr:row>19</xdr:row>
      <xdr:rowOff>176908</xdr:rowOff>
    </xdr:from>
    <xdr:to>
      <xdr:col>2</xdr:col>
      <xdr:colOff>331068</xdr:colOff>
      <xdr:row>22</xdr:row>
      <xdr:rowOff>26268</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06ACD905-A69F-8FF6-90F6-68DDDAE3BBAC}"/>
            </a:ext>
          </a:extLst>
        </xdr:cNvPr>
        <xdr:cNvSpPr/>
      </xdr:nvSpPr>
      <xdr:spPr>
        <a:xfrm>
          <a:off x="138379" y="3671598"/>
          <a:ext cx="1418896" cy="401153"/>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YaHei UI Light" panose="020B0502040204020203" pitchFamily="34" charset="-122"/>
              <a:ea typeface="Microsoft YaHei UI Light" panose="020B0502040204020203" pitchFamily="34" charset="-122"/>
            </a:rPr>
            <a:t>SALESMAN</a:t>
          </a:r>
        </a:p>
      </xdr:txBody>
    </xdr:sp>
    <xdr:clientData/>
  </xdr:twoCellAnchor>
  <xdr:twoCellAnchor>
    <xdr:from>
      <xdr:col>0</xdr:col>
      <xdr:colOff>141882</xdr:colOff>
      <xdr:row>17</xdr:row>
      <xdr:rowOff>22768</xdr:rowOff>
    </xdr:from>
    <xdr:to>
      <xdr:col>2</xdr:col>
      <xdr:colOff>334571</xdr:colOff>
      <xdr:row>19</xdr:row>
      <xdr:rowOff>52544</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9DF3A498-203C-9A28-F3A7-2C0F47436C6B}"/>
            </a:ext>
          </a:extLst>
        </xdr:cNvPr>
        <xdr:cNvSpPr/>
      </xdr:nvSpPr>
      <xdr:spPr>
        <a:xfrm>
          <a:off x="141882" y="3149596"/>
          <a:ext cx="1418896" cy="397638"/>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PRODUCT</a:t>
          </a:r>
        </a:p>
      </xdr:txBody>
    </xdr:sp>
    <xdr:clientData/>
  </xdr:twoCellAnchor>
  <xdr:twoCellAnchor editAs="oneCell">
    <xdr:from>
      <xdr:col>17</xdr:col>
      <xdr:colOff>582083</xdr:colOff>
      <xdr:row>17</xdr:row>
      <xdr:rowOff>97366</xdr:rowOff>
    </xdr:from>
    <xdr:to>
      <xdr:col>19</xdr:col>
      <xdr:colOff>277283</xdr:colOff>
      <xdr:row>22</xdr:row>
      <xdr:rowOff>80433</xdr:rowOff>
    </xdr:to>
    <xdr:pic>
      <xdr:nvPicPr>
        <xdr:cNvPr id="32" name="Graphic 31" descr="Dollar with solid fill">
          <a:extLst>
            <a:ext uri="{FF2B5EF4-FFF2-40B4-BE49-F238E27FC236}">
              <a16:creationId xmlns:a16="http://schemas.microsoft.com/office/drawing/2014/main" id="{1896DF73-365D-BEBA-746C-5C43EA0199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45283" y="3173941"/>
          <a:ext cx="914400" cy="887942"/>
        </a:xfrm>
        <a:prstGeom prst="rect">
          <a:avLst/>
        </a:prstGeom>
      </xdr:spPr>
    </xdr:pic>
    <xdr:clientData/>
  </xdr:twoCellAnchor>
  <xdr:twoCellAnchor editAs="oneCell">
    <xdr:from>
      <xdr:col>0</xdr:col>
      <xdr:colOff>180974</xdr:colOff>
      <xdr:row>1</xdr:row>
      <xdr:rowOff>66674</xdr:rowOff>
    </xdr:from>
    <xdr:to>
      <xdr:col>2</xdr:col>
      <xdr:colOff>190499</xdr:colOff>
      <xdr:row>8</xdr:row>
      <xdr:rowOff>28574</xdr:rowOff>
    </xdr:to>
    <xdr:pic>
      <xdr:nvPicPr>
        <xdr:cNvPr id="9" name="Graphic 8" descr="Connections with solid fill">
          <a:extLst>
            <a:ext uri="{FF2B5EF4-FFF2-40B4-BE49-F238E27FC236}">
              <a16:creationId xmlns:a16="http://schemas.microsoft.com/office/drawing/2014/main" id="{50ABA681-183C-2C80-5478-873EABEC4B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0974" y="247649"/>
          <a:ext cx="1228725" cy="1228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34</xdr:row>
      <xdr:rowOff>44607</xdr:rowOff>
    </xdr:to>
    <xdr:sp macro="" textlink="">
      <xdr:nvSpPr>
        <xdr:cNvPr id="2" name="Rectangle 1">
          <a:extLst>
            <a:ext uri="{FF2B5EF4-FFF2-40B4-BE49-F238E27FC236}">
              <a16:creationId xmlns:a16="http://schemas.microsoft.com/office/drawing/2014/main" id="{4A1F5667-0C11-444A-934C-2A6FF2E70A00}"/>
            </a:ext>
          </a:extLst>
        </xdr:cNvPr>
        <xdr:cNvSpPr/>
      </xdr:nvSpPr>
      <xdr:spPr>
        <a:xfrm>
          <a:off x="0" y="0"/>
          <a:ext cx="15849600" cy="6197757"/>
        </a:xfrm>
        <a:prstGeom prst="rect">
          <a:avLst/>
        </a:prstGeom>
        <a:solidFill>
          <a:schemeClr val="accent5">
            <a:lumMod val="50000"/>
          </a:schemeClr>
        </a:solid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410966</xdr:colOff>
      <xdr:row>1</xdr:row>
      <xdr:rowOff>7619</xdr:rowOff>
    </xdr:from>
    <xdr:to>
      <xdr:col>25</xdr:col>
      <xdr:colOff>548639</xdr:colOff>
      <xdr:row>34</xdr:row>
      <xdr:rowOff>8560</xdr:rowOff>
    </xdr:to>
    <xdr:sp macro="" textlink="">
      <xdr:nvSpPr>
        <xdr:cNvPr id="3" name="Rectangle 2">
          <a:extLst>
            <a:ext uri="{FF2B5EF4-FFF2-40B4-BE49-F238E27FC236}">
              <a16:creationId xmlns:a16="http://schemas.microsoft.com/office/drawing/2014/main" id="{4364C1D3-E6AB-4DA8-8CB0-C4F82001D9B9}"/>
            </a:ext>
          </a:extLst>
        </xdr:cNvPr>
        <xdr:cNvSpPr/>
      </xdr:nvSpPr>
      <xdr:spPr>
        <a:xfrm>
          <a:off x="1630166" y="190499"/>
          <a:ext cx="14158473" cy="6035981"/>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495809</xdr:colOff>
      <xdr:row>13</xdr:row>
      <xdr:rowOff>9969</xdr:rowOff>
    </xdr:from>
    <xdr:to>
      <xdr:col>25</xdr:col>
      <xdr:colOff>446946</xdr:colOff>
      <xdr:row>15</xdr:row>
      <xdr:rowOff>138816</xdr:rowOff>
    </xdr:to>
    <xdr:sp macro="" textlink="">
      <xdr:nvSpPr>
        <xdr:cNvPr id="4" name="Rectangle: Rounded Corners 3">
          <a:extLst>
            <a:ext uri="{FF2B5EF4-FFF2-40B4-BE49-F238E27FC236}">
              <a16:creationId xmlns:a16="http://schemas.microsoft.com/office/drawing/2014/main" id="{501C1512-3E37-49ED-9EC8-380678AF1A64}"/>
            </a:ext>
          </a:extLst>
        </xdr:cNvPr>
        <xdr:cNvSpPr/>
      </xdr:nvSpPr>
      <xdr:spPr>
        <a:xfrm>
          <a:off x="1715009" y="2387409"/>
          <a:ext cx="13971937" cy="49460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bg1"/>
              </a:solidFill>
              <a:latin typeface="Aptos Narrow" panose="020B0004020202020204" pitchFamily="34" charset="0"/>
            </a:rPr>
            <a:t>Analytics</a:t>
          </a:r>
        </a:p>
      </xdr:txBody>
    </xdr:sp>
    <xdr:clientData/>
  </xdr:twoCellAnchor>
  <xdr:twoCellAnchor editAs="oneCell">
    <xdr:from>
      <xdr:col>12</xdr:col>
      <xdr:colOff>192267</xdr:colOff>
      <xdr:row>12</xdr:row>
      <xdr:rowOff>157764</xdr:rowOff>
    </xdr:from>
    <xdr:to>
      <xdr:col>13</xdr:col>
      <xdr:colOff>206958</xdr:colOff>
      <xdr:row>15</xdr:row>
      <xdr:rowOff>139404</xdr:rowOff>
    </xdr:to>
    <xdr:pic>
      <xdr:nvPicPr>
        <xdr:cNvPr id="5" name="Graphic 4" descr="Bar chart with solid fill">
          <a:extLst>
            <a:ext uri="{FF2B5EF4-FFF2-40B4-BE49-F238E27FC236}">
              <a16:creationId xmlns:a16="http://schemas.microsoft.com/office/drawing/2014/main" id="{775ED516-91B8-4ED7-994D-9A4AA2D064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07467" y="2352324"/>
          <a:ext cx="624291" cy="530280"/>
        </a:xfrm>
        <a:prstGeom prst="rect">
          <a:avLst/>
        </a:prstGeom>
      </xdr:spPr>
    </xdr:pic>
    <xdr:clientData/>
  </xdr:twoCellAnchor>
  <xdr:twoCellAnchor editAs="oneCell">
    <xdr:from>
      <xdr:col>2</xdr:col>
      <xdr:colOff>504569</xdr:colOff>
      <xdr:row>1</xdr:row>
      <xdr:rowOff>85859</xdr:rowOff>
    </xdr:from>
    <xdr:to>
      <xdr:col>21</xdr:col>
      <xdr:colOff>4855</xdr:colOff>
      <xdr:row>8</xdr:row>
      <xdr:rowOff>165019</xdr:rowOff>
    </xdr:to>
    <mc:AlternateContent xmlns:mc="http://schemas.openxmlformats.org/markup-compatibility/2006" xmlns:tsle="http://schemas.microsoft.com/office/drawing/2012/timeslicer">
      <mc:Choice Requires="tsle">
        <xdr:graphicFrame macro="">
          <xdr:nvGraphicFramePr>
            <xdr:cNvPr id="10" name="Date 5">
              <a:extLst>
                <a:ext uri="{FF2B5EF4-FFF2-40B4-BE49-F238E27FC236}">
                  <a16:creationId xmlns:a16="http://schemas.microsoft.com/office/drawing/2014/main" id="{D9263B36-C71C-45F5-A188-035232E484EB}"/>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1720140" y="267288"/>
              <a:ext cx="11048215" cy="1349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57872</xdr:colOff>
      <xdr:row>1</xdr:row>
      <xdr:rowOff>75126</xdr:rowOff>
    </xdr:from>
    <xdr:to>
      <xdr:col>25</xdr:col>
      <xdr:colOff>444499</xdr:colOff>
      <xdr:row>9</xdr:row>
      <xdr:rowOff>0</xdr:rowOff>
    </xdr:to>
    <mc:AlternateContent xmlns:mc="http://schemas.openxmlformats.org/markup-compatibility/2006" xmlns:a14="http://schemas.microsoft.com/office/drawing/2010/main">
      <mc:Choice Requires="a14">
        <xdr:graphicFrame macro="">
          <xdr:nvGraphicFramePr>
            <xdr:cNvPr id="11" name="Region 5">
              <a:extLst>
                <a:ext uri="{FF2B5EF4-FFF2-40B4-BE49-F238E27FC236}">
                  <a16:creationId xmlns:a16="http://schemas.microsoft.com/office/drawing/2014/main" id="{0B3FAB2B-32A4-4DA7-8C88-CF3D19460837}"/>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2821372" y="256555"/>
              <a:ext cx="2817770" cy="1376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504568</xdr:colOff>
      <xdr:row>9</xdr:row>
      <xdr:rowOff>32951</xdr:rowOff>
    </xdr:from>
    <xdr:to>
      <xdr:col>25</xdr:col>
      <xdr:colOff>451969</xdr:colOff>
      <xdr:row>12</xdr:row>
      <xdr:rowOff>89747</xdr:rowOff>
    </xdr:to>
    <mc:AlternateContent xmlns:mc="http://schemas.openxmlformats.org/markup-compatibility/2006" xmlns:a14="http://schemas.microsoft.com/office/drawing/2010/main">
      <mc:Choice Requires="a14">
        <xdr:graphicFrame macro="">
          <xdr:nvGraphicFramePr>
            <xdr:cNvPr id="12" name="Item 5">
              <a:extLst>
                <a:ext uri="{FF2B5EF4-FFF2-40B4-BE49-F238E27FC236}">
                  <a16:creationId xmlns:a16="http://schemas.microsoft.com/office/drawing/2014/main" id="{DEAB7383-16EE-40C0-8108-F03EB6661191}"/>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1720139" y="1665808"/>
              <a:ext cx="13926473" cy="601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384797</xdr:colOff>
      <xdr:row>38</xdr:row>
      <xdr:rowOff>87077</xdr:rowOff>
    </xdr:from>
    <xdr:to>
      <xdr:col>5</xdr:col>
      <xdr:colOff>540437</xdr:colOff>
      <xdr:row>39</xdr:row>
      <xdr:rowOff>75442</xdr:rowOff>
    </xdr:to>
    <xdr:sp macro="" textlink="">
      <xdr:nvSpPr>
        <xdr:cNvPr id="17" name="TextBox 16">
          <a:extLst>
            <a:ext uri="{FF2B5EF4-FFF2-40B4-BE49-F238E27FC236}">
              <a16:creationId xmlns:a16="http://schemas.microsoft.com/office/drawing/2014/main" id="{B773CD1C-54BC-4112-98CB-41403083E39D}"/>
            </a:ext>
          </a:extLst>
        </xdr:cNvPr>
        <xdr:cNvSpPr txBox="1"/>
      </xdr:nvSpPr>
      <xdr:spPr>
        <a:xfrm flipH="1">
          <a:off x="3425100" y="7106713"/>
          <a:ext cx="155640" cy="1730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5</xdr:col>
      <xdr:colOff>540962</xdr:colOff>
      <xdr:row>16</xdr:row>
      <xdr:rowOff>1</xdr:rowOff>
    </xdr:from>
    <xdr:ext cx="1517899" cy="354823"/>
    <xdr:sp macro="" textlink="">
      <xdr:nvSpPr>
        <xdr:cNvPr id="18" name="TextBox 17">
          <a:extLst>
            <a:ext uri="{FF2B5EF4-FFF2-40B4-BE49-F238E27FC236}">
              <a16:creationId xmlns:a16="http://schemas.microsoft.com/office/drawing/2014/main" id="{8CA71140-6B5B-4B19-8BC7-EB66910C2C16}"/>
            </a:ext>
          </a:extLst>
        </xdr:cNvPr>
        <xdr:cNvSpPr txBox="1"/>
      </xdr:nvSpPr>
      <xdr:spPr>
        <a:xfrm>
          <a:off x="3588962" y="2926081"/>
          <a:ext cx="1517899" cy="354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a:p>
      </xdr:txBody>
    </xdr:sp>
    <xdr:clientData/>
  </xdr:oneCellAnchor>
  <xdr:twoCellAnchor>
    <xdr:from>
      <xdr:col>0</xdr:col>
      <xdr:colOff>140139</xdr:colOff>
      <xdr:row>14</xdr:row>
      <xdr:rowOff>56061</xdr:rowOff>
    </xdr:from>
    <xdr:to>
      <xdr:col>2</xdr:col>
      <xdr:colOff>332828</xdr:colOff>
      <xdr:row>16</xdr:row>
      <xdr:rowOff>96344</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8D78B855-28F7-4493-9E94-89E887F0418E}"/>
            </a:ext>
          </a:extLst>
        </xdr:cNvPr>
        <xdr:cNvSpPr/>
      </xdr:nvSpPr>
      <xdr:spPr>
        <a:xfrm>
          <a:off x="140139" y="2616381"/>
          <a:ext cx="1411889" cy="406043"/>
        </a:xfrm>
        <a:prstGeom prst="roundRect">
          <a:avLst/>
        </a:prstGeom>
        <a:solidFill>
          <a:schemeClr val="accent5">
            <a:lumMod val="7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lvl="0" algn="ctr"/>
          <a:r>
            <a:rPr lang="en-IN" sz="1400" b="1">
              <a:latin typeface="Microsoft JhengHei UI Light" panose="020B0304030504040204" pitchFamily="34" charset="-120"/>
              <a:ea typeface="Microsoft JhengHei UI Light" panose="020B0304030504040204" pitchFamily="34" charset="-120"/>
            </a:rPr>
            <a:t>DASHBOARD</a:t>
          </a:r>
        </a:p>
      </xdr:txBody>
    </xdr:sp>
    <xdr:clientData/>
  </xdr:twoCellAnchor>
  <xdr:twoCellAnchor>
    <xdr:from>
      <xdr:col>0</xdr:col>
      <xdr:colOff>152395</xdr:colOff>
      <xdr:row>22</xdr:row>
      <xdr:rowOff>147149</xdr:rowOff>
    </xdr:from>
    <xdr:to>
      <xdr:col>2</xdr:col>
      <xdr:colOff>345084</xdr:colOff>
      <xdr:row>24</xdr:row>
      <xdr:rowOff>131380</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B897133E-D866-4CDF-8398-951108E0C396}"/>
            </a:ext>
          </a:extLst>
        </xdr:cNvPr>
        <xdr:cNvSpPr/>
      </xdr:nvSpPr>
      <xdr:spPr>
        <a:xfrm>
          <a:off x="152395" y="4170509"/>
          <a:ext cx="1411889" cy="34999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ABOUT</a:t>
          </a:r>
        </a:p>
      </xdr:txBody>
    </xdr:sp>
    <xdr:clientData/>
  </xdr:twoCellAnchor>
  <xdr:twoCellAnchor>
    <xdr:from>
      <xdr:col>0</xdr:col>
      <xdr:colOff>138379</xdr:colOff>
      <xdr:row>19</xdr:row>
      <xdr:rowOff>176908</xdr:rowOff>
    </xdr:from>
    <xdr:to>
      <xdr:col>2</xdr:col>
      <xdr:colOff>331068</xdr:colOff>
      <xdr:row>22</xdr:row>
      <xdr:rowOff>26268</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222B5C0F-D744-4324-9F16-2AA4F79D95EC}"/>
            </a:ext>
          </a:extLst>
        </xdr:cNvPr>
        <xdr:cNvSpPr/>
      </xdr:nvSpPr>
      <xdr:spPr>
        <a:xfrm>
          <a:off x="138379" y="3651628"/>
          <a:ext cx="1411889" cy="3980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YaHei UI Light" panose="020B0502040204020203" pitchFamily="34" charset="-122"/>
              <a:ea typeface="Microsoft YaHei UI Light" panose="020B0502040204020203" pitchFamily="34" charset="-122"/>
            </a:rPr>
            <a:t>SALESMAN</a:t>
          </a:r>
        </a:p>
      </xdr:txBody>
    </xdr:sp>
    <xdr:clientData/>
  </xdr:twoCellAnchor>
  <xdr:twoCellAnchor>
    <xdr:from>
      <xdr:col>0</xdr:col>
      <xdr:colOff>141882</xdr:colOff>
      <xdr:row>17</xdr:row>
      <xdr:rowOff>22768</xdr:rowOff>
    </xdr:from>
    <xdr:to>
      <xdr:col>2</xdr:col>
      <xdr:colOff>334571</xdr:colOff>
      <xdr:row>19</xdr:row>
      <xdr:rowOff>52544</xdr:rowOff>
    </xdr:to>
    <xdr:sp macro="" textlink="">
      <xdr:nvSpPr>
        <xdr:cNvPr id="23" name="Rectangle: Rounded Corners 22">
          <a:extLst>
            <a:ext uri="{FF2B5EF4-FFF2-40B4-BE49-F238E27FC236}">
              <a16:creationId xmlns:a16="http://schemas.microsoft.com/office/drawing/2014/main" id="{AD7B0DC9-988B-4EED-A912-4A7F8810111E}"/>
            </a:ext>
          </a:extLst>
        </xdr:cNvPr>
        <xdr:cNvSpPr/>
      </xdr:nvSpPr>
      <xdr:spPr>
        <a:xfrm>
          <a:off x="141882" y="3131728"/>
          <a:ext cx="1411889" cy="395536"/>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PRODUCT</a:t>
          </a:r>
        </a:p>
      </xdr:txBody>
    </xdr:sp>
    <xdr:clientData/>
  </xdr:twoCellAnchor>
  <xdr:twoCellAnchor>
    <xdr:from>
      <xdr:col>2</xdr:col>
      <xdr:colOff>550333</xdr:colOff>
      <xdr:row>16</xdr:row>
      <xdr:rowOff>45357</xdr:rowOff>
    </xdr:from>
    <xdr:to>
      <xdr:col>17</xdr:col>
      <xdr:colOff>191669</xdr:colOff>
      <xdr:row>33</xdr:row>
      <xdr:rowOff>88822</xdr:rowOff>
    </xdr:to>
    <xdr:graphicFrame macro="">
      <xdr:nvGraphicFramePr>
        <xdr:cNvPr id="27" name="Chart 26">
          <a:extLst>
            <a:ext uri="{FF2B5EF4-FFF2-40B4-BE49-F238E27FC236}">
              <a16:creationId xmlns:a16="http://schemas.microsoft.com/office/drawing/2014/main" id="{634C8A6D-9E1E-4CB9-AB90-CCA51F08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598714</xdr:colOff>
      <xdr:row>38</xdr:row>
      <xdr:rowOff>168234</xdr:rowOff>
    </xdr:from>
    <xdr:to>
      <xdr:col>5</xdr:col>
      <xdr:colOff>405741</xdr:colOff>
      <xdr:row>39</xdr:row>
      <xdr:rowOff>30875</xdr:rowOff>
    </xdr:to>
    <xdr:sp macro="" textlink="">
      <xdr:nvSpPr>
        <xdr:cNvPr id="29" name="TextBox 28">
          <a:extLst>
            <a:ext uri="{FF2B5EF4-FFF2-40B4-BE49-F238E27FC236}">
              <a16:creationId xmlns:a16="http://schemas.microsoft.com/office/drawing/2014/main" id="{145082CD-2BC8-2B3D-BEA0-C54CDA173178}"/>
            </a:ext>
          </a:extLst>
        </xdr:cNvPr>
        <xdr:cNvSpPr txBox="1"/>
      </xdr:nvSpPr>
      <xdr:spPr>
        <a:xfrm>
          <a:off x="3033156" y="7125195"/>
          <a:ext cx="415637"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180975</xdr:colOff>
      <xdr:row>0</xdr:row>
      <xdr:rowOff>171450</xdr:rowOff>
    </xdr:from>
    <xdr:to>
      <xdr:col>2</xdr:col>
      <xdr:colOff>190500</xdr:colOff>
      <xdr:row>7</xdr:row>
      <xdr:rowOff>133350</xdr:rowOff>
    </xdr:to>
    <xdr:pic>
      <xdr:nvPicPr>
        <xdr:cNvPr id="6" name="Graphic 5" descr="Connections with solid fill">
          <a:extLst>
            <a:ext uri="{FF2B5EF4-FFF2-40B4-BE49-F238E27FC236}">
              <a16:creationId xmlns:a16="http://schemas.microsoft.com/office/drawing/2014/main" id="{32640DC5-ABD7-4147-8A72-9E2712E182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0975" y="171450"/>
          <a:ext cx="1228725" cy="1228725"/>
        </a:xfrm>
        <a:prstGeom prst="rect">
          <a:avLst/>
        </a:prstGeom>
      </xdr:spPr>
    </xdr:pic>
    <xdr:clientData/>
  </xdr:twoCellAnchor>
  <xdr:twoCellAnchor>
    <xdr:from>
      <xdr:col>17</xdr:col>
      <xdr:colOff>323273</xdr:colOff>
      <xdr:row>16</xdr:row>
      <xdr:rowOff>62923</xdr:rowOff>
    </xdr:from>
    <xdr:to>
      <xdr:col>25</xdr:col>
      <xdr:colOff>434109</xdr:colOff>
      <xdr:row>24</xdr:row>
      <xdr:rowOff>106218</xdr:rowOff>
    </xdr:to>
    <xdr:graphicFrame macro="">
      <xdr:nvGraphicFramePr>
        <xdr:cNvPr id="7" name="Chart 6">
          <a:extLst>
            <a:ext uri="{FF2B5EF4-FFF2-40B4-BE49-F238E27FC236}">
              <a16:creationId xmlns:a16="http://schemas.microsoft.com/office/drawing/2014/main" id="{C1F72000-E803-4542-BF79-47FCE4BBF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319460</xdr:colOff>
      <xdr:row>25</xdr:row>
      <xdr:rowOff>7868</xdr:rowOff>
    </xdr:from>
    <xdr:to>
      <xdr:col>25</xdr:col>
      <xdr:colOff>423894</xdr:colOff>
      <xdr:row>33</xdr:row>
      <xdr:rowOff>70649</xdr:rowOff>
    </xdr:to>
    <xdr:graphicFrame macro="">
      <xdr:nvGraphicFramePr>
        <xdr:cNvPr id="8" name="Chart 7">
          <a:extLst>
            <a:ext uri="{FF2B5EF4-FFF2-40B4-BE49-F238E27FC236}">
              <a16:creationId xmlns:a16="http://schemas.microsoft.com/office/drawing/2014/main" id="{FC16E3E8-206C-4895-A491-44E0D9E40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34</xdr:row>
      <xdr:rowOff>44607</xdr:rowOff>
    </xdr:to>
    <xdr:sp macro="" textlink="">
      <xdr:nvSpPr>
        <xdr:cNvPr id="2" name="Rectangle 1">
          <a:extLst>
            <a:ext uri="{FF2B5EF4-FFF2-40B4-BE49-F238E27FC236}">
              <a16:creationId xmlns:a16="http://schemas.microsoft.com/office/drawing/2014/main" id="{4BD2312F-28C8-4ED6-96A9-EDEC116A952D}"/>
            </a:ext>
          </a:extLst>
        </xdr:cNvPr>
        <xdr:cNvSpPr/>
      </xdr:nvSpPr>
      <xdr:spPr>
        <a:xfrm>
          <a:off x="0" y="0"/>
          <a:ext cx="15849600" cy="6262527"/>
        </a:xfrm>
        <a:prstGeom prst="rect">
          <a:avLst/>
        </a:prstGeom>
        <a:solidFill>
          <a:schemeClr val="accent5">
            <a:lumMod val="50000"/>
          </a:schemeClr>
        </a:solid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410966</xdr:colOff>
      <xdr:row>1</xdr:row>
      <xdr:rowOff>7619</xdr:rowOff>
    </xdr:from>
    <xdr:to>
      <xdr:col>25</xdr:col>
      <xdr:colOff>548639</xdr:colOff>
      <xdr:row>34</xdr:row>
      <xdr:rowOff>8560</xdr:rowOff>
    </xdr:to>
    <xdr:sp macro="" textlink="">
      <xdr:nvSpPr>
        <xdr:cNvPr id="3" name="Rectangle 2">
          <a:extLst>
            <a:ext uri="{FF2B5EF4-FFF2-40B4-BE49-F238E27FC236}">
              <a16:creationId xmlns:a16="http://schemas.microsoft.com/office/drawing/2014/main" id="{158A6500-C3E4-493A-8036-404008104476}"/>
            </a:ext>
          </a:extLst>
        </xdr:cNvPr>
        <xdr:cNvSpPr/>
      </xdr:nvSpPr>
      <xdr:spPr>
        <a:xfrm>
          <a:off x="1630166" y="190499"/>
          <a:ext cx="14158473" cy="6035981"/>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495809</xdr:colOff>
      <xdr:row>13</xdr:row>
      <xdr:rowOff>9969</xdr:rowOff>
    </xdr:from>
    <xdr:to>
      <xdr:col>25</xdr:col>
      <xdr:colOff>446946</xdr:colOff>
      <xdr:row>15</xdr:row>
      <xdr:rowOff>138816</xdr:rowOff>
    </xdr:to>
    <xdr:sp macro="" textlink="">
      <xdr:nvSpPr>
        <xdr:cNvPr id="4" name="Rectangle: Rounded Corners 3">
          <a:extLst>
            <a:ext uri="{FF2B5EF4-FFF2-40B4-BE49-F238E27FC236}">
              <a16:creationId xmlns:a16="http://schemas.microsoft.com/office/drawing/2014/main" id="{307BD4F3-0FF8-4FB5-B9AC-CAE2F059DD70}"/>
            </a:ext>
          </a:extLst>
        </xdr:cNvPr>
        <xdr:cNvSpPr/>
      </xdr:nvSpPr>
      <xdr:spPr>
        <a:xfrm>
          <a:off x="1715009" y="2387409"/>
          <a:ext cx="13971937" cy="49460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bg1"/>
              </a:solidFill>
              <a:latin typeface="Aptos Narrow" panose="020B0004020202020204" pitchFamily="34" charset="0"/>
            </a:rPr>
            <a:t>Analytics</a:t>
          </a:r>
        </a:p>
      </xdr:txBody>
    </xdr:sp>
    <xdr:clientData/>
  </xdr:twoCellAnchor>
  <xdr:twoCellAnchor editAs="oneCell">
    <xdr:from>
      <xdr:col>12</xdr:col>
      <xdr:colOff>192267</xdr:colOff>
      <xdr:row>12</xdr:row>
      <xdr:rowOff>157764</xdr:rowOff>
    </xdr:from>
    <xdr:to>
      <xdr:col>13</xdr:col>
      <xdr:colOff>206958</xdr:colOff>
      <xdr:row>15</xdr:row>
      <xdr:rowOff>139404</xdr:rowOff>
    </xdr:to>
    <xdr:pic>
      <xdr:nvPicPr>
        <xdr:cNvPr id="5" name="Graphic 4" descr="Bar chart with solid fill">
          <a:extLst>
            <a:ext uri="{FF2B5EF4-FFF2-40B4-BE49-F238E27FC236}">
              <a16:creationId xmlns:a16="http://schemas.microsoft.com/office/drawing/2014/main" id="{C81D4722-D456-44C4-9934-C4B9EB6C18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07467" y="2352324"/>
          <a:ext cx="624291" cy="530280"/>
        </a:xfrm>
        <a:prstGeom prst="rect">
          <a:avLst/>
        </a:prstGeom>
      </xdr:spPr>
    </xdr:pic>
    <xdr:clientData/>
  </xdr:twoCellAnchor>
  <xdr:twoCellAnchor editAs="oneCell">
    <xdr:from>
      <xdr:col>2</xdr:col>
      <xdr:colOff>504569</xdr:colOff>
      <xdr:row>1</xdr:row>
      <xdr:rowOff>85859</xdr:rowOff>
    </xdr:from>
    <xdr:to>
      <xdr:col>21</xdr:col>
      <xdr:colOff>4855</xdr:colOff>
      <xdr:row>8</xdr:row>
      <xdr:rowOff>165019</xdr:rowOff>
    </xdr:to>
    <mc:AlternateContent xmlns:mc="http://schemas.openxmlformats.org/markup-compatibility/2006" xmlns:tsle="http://schemas.microsoft.com/office/drawing/2012/timeslicer">
      <mc:Choice Requires="tsle">
        <xdr:graphicFrame macro="">
          <xdr:nvGraphicFramePr>
            <xdr:cNvPr id="10" name="Date 6">
              <a:extLst>
                <a:ext uri="{FF2B5EF4-FFF2-40B4-BE49-F238E27FC236}">
                  <a16:creationId xmlns:a16="http://schemas.microsoft.com/office/drawing/2014/main" id="{F95C5995-B589-4E26-B770-EE2880E352DA}"/>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1730776" y="269790"/>
              <a:ext cx="11149251" cy="13666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57872</xdr:colOff>
      <xdr:row>1</xdr:row>
      <xdr:rowOff>75126</xdr:rowOff>
    </xdr:from>
    <xdr:to>
      <xdr:col>25</xdr:col>
      <xdr:colOff>444499</xdr:colOff>
      <xdr:row>9</xdr:row>
      <xdr:rowOff>0</xdr:rowOff>
    </xdr:to>
    <mc:AlternateContent xmlns:mc="http://schemas.openxmlformats.org/markup-compatibility/2006" xmlns:a14="http://schemas.microsoft.com/office/drawing/2010/main">
      <mc:Choice Requires="a14">
        <xdr:graphicFrame macro="">
          <xdr:nvGraphicFramePr>
            <xdr:cNvPr id="11" name="Region 6">
              <a:extLst>
                <a:ext uri="{FF2B5EF4-FFF2-40B4-BE49-F238E27FC236}">
                  <a16:creationId xmlns:a16="http://schemas.microsoft.com/office/drawing/2014/main" id="{D7247C9B-2EFB-4973-A3DB-A6CA652C310D}"/>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2933044" y="259057"/>
              <a:ext cx="2839041" cy="1396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504568</xdr:colOff>
      <xdr:row>9</xdr:row>
      <xdr:rowOff>32951</xdr:rowOff>
    </xdr:from>
    <xdr:to>
      <xdr:col>25</xdr:col>
      <xdr:colOff>451969</xdr:colOff>
      <xdr:row>12</xdr:row>
      <xdr:rowOff>89747</xdr:rowOff>
    </xdr:to>
    <mc:AlternateContent xmlns:mc="http://schemas.openxmlformats.org/markup-compatibility/2006" xmlns:a14="http://schemas.microsoft.com/office/drawing/2010/main">
      <mc:Choice Requires="a14">
        <xdr:graphicFrame macro="">
          <xdr:nvGraphicFramePr>
            <xdr:cNvPr id="12" name="Item 6">
              <a:extLst>
                <a:ext uri="{FF2B5EF4-FFF2-40B4-BE49-F238E27FC236}">
                  <a16:creationId xmlns:a16="http://schemas.microsoft.com/office/drawing/2014/main" id="{26D4C790-E3CE-4F0E-B999-CC6C879FFF12}"/>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1730775" y="1688330"/>
              <a:ext cx="14048780" cy="60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308290</xdr:colOff>
      <xdr:row>17</xdr:row>
      <xdr:rowOff>63985</xdr:rowOff>
    </xdr:from>
    <xdr:to>
      <xdr:col>5</xdr:col>
      <xdr:colOff>354009</xdr:colOff>
      <xdr:row>18</xdr:row>
      <xdr:rowOff>52351</xdr:rowOff>
    </xdr:to>
    <xdr:sp macro="" textlink="">
      <xdr:nvSpPr>
        <xdr:cNvPr id="17" name="TextBox 16">
          <a:extLst>
            <a:ext uri="{FF2B5EF4-FFF2-40B4-BE49-F238E27FC236}">
              <a16:creationId xmlns:a16="http://schemas.microsoft.com/office/drawing/2014/main" id="{D2A90C10-2E8D-43AA-B4E1-82ECF25DA6A1}"/>
            </a:ext>
          </a:extLst>
        </xdr:cNvPr>
        <xdr:cNvSpPr txBox="1"/>
      </xdr:nvSpPr>
      <xdr:spPr>
        <a:xfrm>
          <a:off x="3356290" y="3172945"/>
          <a:ext cx="45719" cy="171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5</xdr:col>
      <xdr:colOff>540962</xdr:colOff>
      <xdr:row>16</xdr:row>
      <xdr:rowOff>1</xdr:rowOff>
    </xdr:from>
    <xdr:ext cx="1517899" cy="354823"/>
    <xdr:sp macro="" textlink="">
      <xdr:nvSpPr>
        <xdr:cNvPr id="18" name="TextBox 17">
          <a:extLst>
            <a:ext uri="{FF2B5EF4-FFF2-40B4-BE49-F238E27FC236}">
              <a16:creationId xmlns:a16="http://schemas.microsoft.com/office/drawing/2014/main" id="{2A4E095B-3553-43EF-BE07-16F617FABC56}"/>
            </a:ext>
          </a:extLst>
        </xdr:cNvPr>
        <xdr:cNvSpPr txBox="1"/>
      </xdr:nvSpPr>
      <xdr:spPr>
        <a:xfrm>
          <a:off x="3588962" y="2926081"/>
          <a:ext cx="1517899" cy="354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a:p>
      </xdr:txBody>
    </xdr:sp>
    <xdr:clientData/>
  </xdr:oneCellAnchor>
  <xdr:twoCellAnchor>
    <xdr:from>
      <xdr:col>0</xdr:col>
      <xdr:colOff>140139</xdr:colOff>
      <xdr:row>14</xdr:row>
      <xdr:rowOff>56061</xdr:rowOff>
    </xdr:from>
    <xdr:to>
      <xdr:col>2</xdr:col>
      <xdr:colOff>332828</xdr:colOff>
      <xdr:row>16</xdr:row>
      <xdr:rowOff>96344</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EBB8E4A6-BD3F-4405-80EA-50ED4CF8A0BA}"/>
            </a:ext>
          </a:extLst>
        </xdr:cNvPr>
        <xdr:cNvSpPr/>
      </xdr:nvSpPr>
      <xdr:spPr>
        <a:xfrm>
          <a:off x="140139" y="2616381"/>
          <a:ext cx="1411889" cy="406043"/>
        </a:xfrm>
        <a:prstGeom prst="roundRect">
          <a:avLst/>
        </a:prstGeom>
        <a:solidFill>
          <a:schemeClr val="accent5">
            <a:lumMod val="7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lvl="0" algn="ctr"/>
          <a:r>
            <a:rPr lang="en-IN" sz="1400" b="1">
              <a:latin typeface="Microsoft JhengHei UI Light" panose="020B0304030504040204" pitchFamily="34" charset="-120"/>
              <a:ea typeface="Microsoft JhengHei UI Light" panose="020B0304030504040204" pitchFamily="34" charset="-120"/>
            </a:rPr>
            <a:t>DASHBOARD</a:t>
          </a:r>
        </a:p>
      </xdr:txBody>
    </xdr:sp>
    <xdr:clientData/>
  </xdr:twoCellAnchor>
  <xdr:twoCellAnchor>
    <xdr:from>
      <xdr:col>0</xdr:col>
      <xdr:colOff>152395</xdr:colOff>
      <xdr:row>22</xdr:row>
      <xdr:rowOff>147149</xdr:rowOff>
    </xdr:from>
    <xdr:to>
      <xdr:col>2</xdr:col>
      <xdr:colOff>345084</xdr:colOff>
      <xdr:row>24</xdr:row>
      <xdr:rowOff>131380</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58F31CBF-4B5B-4A38-8C63-963FBF0F4B9B}"/>
            </a:ext>
          </a:extLst>
        </xdr:cNvPr>
        <xdr:cNvSpPr/>
      </xdr:nvSpPr>
      <xdr:spPr>
        <a:xfrm>
          <a:off x="152395" y="4170509"/>
          <a:ext cx="1411889" cy="34999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ABOUT</a:t>
          </a:r>
        </a:p>
      </xdr:txBody>
    </xdr:sp>
    <xdr:clientData/>
  </xdr:twoCellAnchor>
  <xdr:twoCellAnchor>
    <xdr:from>
      <xdr:col>0</xdr:col>
      <xdr:colOff>138379</xdr:colOff>
      <xdr:row>19</xdr:row>
      <xdr:rowOff>176908</xdr:rowOff>
    </xdr:from>
    <xdr:to>
      <xdr:col>2</xdr:col>
      <xdr:colOff>331068</xdr:colOff>
      <xdr:row>22</xdr:row>
      <xdr:rowOff>26268</xdr:rowOff>
    </xdr:to>
    <xdr:sp macro="" textlink="">
      <xdr:nvSpPr>
        <xdr:cNvPr id="22" name="Rectangle: Rounded Corners 21">
          <a:extLst>
            <a:ext uri="{FF2B5EF4-FFF2-40B4-BE49-F238E27FC236}">
              <a16:creationId xmlns:a16="http://schemas.microsoft.com/office/drawing/2014/main" id="{D78488B6-DFB8-4860-BA15-2B80928ED853}"/>
            </a:ext>
          </a:extLst>
        </xdr:cNvPr>
        <xdr:cNvSpPr/>
      </xdr:nvSpPr>
      <xdr:spPr>
        <a:xfrm>
          <a:off x="138379" y="3651628"/>
          <a:ext cx="1411889" cy="398000"/>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YaHei UI Light" panose="020B0502040204020203" pitchFamily="34" charset="-122"/>
              <a:ea typeface="Microsoft YaHei UI Light" panose="020B0502040204020203" pitchFamily="34" charset="-122"/>
            </a:rPr>
            <a:t>SALESMAN</a:t>
          </a:r>
        </a:p>
      </xdr:txBody>
    </xdr:sp>
    <xdr:clientData/>
  </xdr:twoCellAnchor>
  <xdr:twoCellAnchor>
    <xdr:from>
      <xdr:col>0</xdr:col>
      <xdr:colOff>141882</xdr:colOff>
      <xdr:row>17</xdr:row>
      <xdr:rowOff>22768</xdr:rowOff>
    </xdr:from>
    <xdr:to>
      <xdr:col>2</xdr:col>
      <xdr:colOff>334571</xdr:colOff>
      <xdr:row>19</xdr:row>
      <xdr:rowOff>52544</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372CDB4E-A57B-4A02-8C22-E69F52FFB4E7}"/>
            </a:ext>
          </a:extLst>
        </xdr:cNvPr>
        <xdr:cNvSpPr/>
      </xdr:nvSpPr>
      <xdr:spPr>
        <a:xfrm>
          <a:off x="141882" y="3131728"/>
          <a:ext cx="1411889" cy="395536"/>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PRODUCT</a:t>
          </a:r>
        </a:p>
      </xdr:txBody>
    </xdr:sp>
    <xdr:clientData/>
  </xdr:twoCellAnchor>
  <xdr:twoCellAnchor>
    <xdr:from>
      <xdr:col>2</xdr:col>
      <xdr:colOff>514195</xdr:colOff>
      <xdr:row>16</xdr:row>
      <xdr:rowOff>56445</xdr:rowOff>
    </xdr:from>
    <xdr:to>
      <xdr:col>17</xdr:col>
      <xdr:colOff>154877</xdr:colOff>
      <xdr:row>33</xdr:row>
      <xdr:rowOff>74341</xdr:rowOff>
    </xdr:to>
    <xdr:graphicFrame macro="">
      <xdr:nvGraphicFramePr>
        <xdr:cNvPr id="25" name="Chart 24">
          <a:extLst>
            <a:ext uri="{FF2B5EF4-FFF2-40B4-BE49-F238E27FC236}">
              <a16:creationId xmlns:a16="http://schemas.microsoft.com/office/drawing/2014/main" id="{0CF31FF1-C69D-4620-A8B1-52CB2D190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303836</xdr:colOff>
      <xdr:row>16</xdr:row>
      <xdr:rowOff>53051</xdr:rowOff>
    </xdr:from>
    <xdr:to>
      <xdr:col>25</xdr:col>
      <xdr:colOff>443696</xdr:colOff>
      <xdr:row>25</xdr:row>
      <xdr:rowOff>62695</xdr:rowOff>
    </xdr:to>
    <xdr:graphicFrame macro="">
      <xdr:nvGraphicFramePr>
        <xdr:cNvPr id="26" name="Chart 25">
          <a:extLst>
            <a:ext uri="{FF2B5EF4-FFF2-40B4-BE49-F238E27FC236}">
              <a16:creationId xmlns:a16="http://schemas.microsoft.com/office/drawing/2014/main" id="{9B47201E-4B15-4AF0-9265-220606EE9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314739</xdr:colOff>
      <xdr:row>25</xdr:row>
      <xdr:rowOff>175591</xdr:rowOff>
    </xdr:from>
    <xdr:to>
      <xdr:col>25</xdr:col>
      <xdr:colOff>440635</xdr:colOff>
      <xdr:row>33</xdr:row>
      <xdr:rowOff>89451</xdr:rowOff>
    </xdr:to>
    <xdr:graphicFrame macro="">
      <xdr:nvGraphicFramePr>
        <xdr:cNvPr id="27" name="Chart 26">
          <a:extLst>
            <a:ext uri="{FF2B5EF4-FFF2-40B4-BE49-F238E27FC236}">
              <a16:creationId xmlns:a16="http://schemas.microsoft.com/office/drawing/2014/main" id="{CA8816EF-8F95-4E22-BB72-BF17E1F4F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200025</xdr:colOff>
      <xdr:row>0</xdr:row>
      <xdr:rowOff>152400</xdr:rowOff>
    </xdr:from>
    <xdr:to>
      <xdr:col>2</xdr:col>
      <xdr:colOff>209550</xdr:colOff>
      <xdr:row>7</xdr:row>
      <xdr:rowOff>114300</xdr:rowOff>
    </xdr:to>
    <xdr:pic>
      <xdr:nvPicPr>
        <xdr:cNvPr id="6" name="Graphic 5" descr="Connections with solid fill">
          <a:extLst>
            <a:ext uri="{FF2B5EF4-FFF2-40B4-BE49-F238E27FC236}">
              <a16:creationId xmlns:a16="http://schemas.microsoft.com/office/drawing/2014/main" id="{0E42BAF3-D3FB-43E4-9D6D-7B255DBE2EA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0025" y="152400"/>
          <a:ext cx="1228725" cy="1228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25400</xdr:rowOff>
    </xdr:from>
    <xdr:to>
      <xdr:col>26</xdr:col>
      <xdr:colOff>0</xdr:colOff>
      <xdr:row>34</xdr:row>
      <xdr:rowOff>70007</xdr:rowOff>
    </xdr:to>
    <xdr:sp macro="" textlink="">
      <xdr:nvSpPr>
        <xdr:cNvPr id="2" name="Rectangle 1">
          <a:extLst>
            <a:ext uri="{FF2B5EF4-FFF2-40B4-BE49-F238E27FC236}">
              <a16:creationId xmlns:a16="http://schemas.microsoft.com/office/drawing/2014/main" id="{2D096262-0AA2-4A76-993D-6261ACA112F1}"/>
            </a:ext>
          </a:extLst>
        </xdr:cNvPr>
        <xdr:cNvSpPr/>
      </xdr:nvSpPr>
      <xdr:spPr>
        <a:xfrm>
          <a:off x="0" y="25400"/>
          <a:ext cx="15849600" cy="6377674"/>
        </a:xfrm>
        <a:prstGeom prst="rect">
          <a:avLst/>
        </a:prstGeom>
        <a:solidFill>
          <a:schemeClr val="accent5">
            <a:lumMod val="50000"/>
          </a:schemeClr>
        </a:solid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410966</xdr:colOff>
      <xdr:row>1</xdr:row>
      <xdr:rowOff>7619</xdr:rowOff>
    </xdr:from>
    <xdr:to>
      <xdr:col>25</xdr:col>
      <xdr:colOff>548639</xdr:colOff>
      <xdr:row>34</xdr:row>
      <xdr:rowOff>8560</xdr:rowOff>
    </xdr:to>
    <xdr:sp macro="" textlink="">
      <xdr:nvSpPr>
        <xdr:cNvPr id="3" name="Rectangle 2">
          <a:extLst>
            <a:ext uri="{FF2B5EF4-FFF2-40B4-BE49-F238E27FC236}">
              <a16:creationId xmlns:a16="http://schemas.microsoft.com/office/drawing/2014/main" id="{48F90C1A-88A8-4165-89A6-9867A5D11DAD}"/>
            </a:ext>
          </a:extLst>
        </xdr:cNvPr>
        <xdr:cNvSpPr/>
      </xdr:nvSpPr>
      <xdr:spPr>
        <a:xfrm>
          <a:off x="1630166" y="193886"/>
          <a:ext cx="14158473" cy="6147741"/>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495809</xdr:colOff>
      <xdr:row>13</xdr:row>
      <xdr:rowOff>9969</xdr:rowOff>
    </xdr:from>
    <xdr:to>
      <xdr:col>25</xdr:col>
      <xdr:colOff>446946</xdr:colOff>
      <xdr:row>15</xdr:row>
      <xdr:rowOff>138816</xdr:rowOff>
    </xdr:to>
    <xdr:sp macro="" textlink="">
      <xdr:nvSpPr>
        <xdr:cNvPr id="4" name="Rectangle: Rounded Corners 3">
          <a:extLst>
            <a:ext uri="{FF2B5EF4-FFF2-40B4-BE49-F238E27FC236}">
              <a16:creationId xmlns:a16="http://schemas.microsoft.com/office/drawing/2014/main" id="{D63DCEBE-6F44-472C-A1AE-CB57678A32B3}"/>
            </a:ext>
          </a:extLst>
        </xdr:cNvPr>
        <xdr:cNvSpPr/>
      </xdr:nvSpPr>
      <xdr:spPr>
        <a:xfrm>
          <a:off x="1719020" y="2356127"/>
          <a:ext cx="14018058" cy="489794"/>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bg1"/>
              </a:solidFill>
              <a:latin typeface="Aptos Narrow" panose="020B0004020202020204" pitchFamily="34" charset="0"/>
            </a:rPr>
            <a:t>Analytics</a:t>
          </a:r>
        </a:p>
      </xdr:txBody>
    </xdr:sp>
    <xdr:clientData/>
  </xdr:twoCellAnchor>
  <xdr:twoCellAnchor editAs="oneCell">
    <xdr:from>
      <xdr:col>12</xdr:col>
      <xdr:colOff>192267</xdr:colOff>
      <xdr:row>12</xdr:row>
      <xdr:rowOff>157764</xdr:rowOff>
    </xdr:from>
    <xdr:to>
      <xdr:col>13</xdr:col>
      <xdr:colOff>206958</xdr:colOff>
      <xdr:row>15</xdr:row>
      <xdr:rowOff>139404</xdr:rowOff>
    </xdr:to>
    <xdr:pic>
      <xdr:nvPicPr>
        <xdr:cNvPr id="5" name="Graphic 4" descr="Bar chart with solid fill">
          <a:extLst>
            <a:ext uri="{FF2B5EF4-FFF2-40B4-BE49-F238E27FC236}">
              <a16:creationId xmlns:a16="http://schemas.microsoft.com/office/drawing/2014/main" id="{A0A68A98-AAA7-4E4B-8BC6-5B58DFB90C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07467" y="2352324"/>
          <a:ext cx="624291" cy="530280"/>
        </a:xfrm>
        <a:prstGeom prst="rect">
          <a:avLst/>
        </a:prstGeom>
      </xdr:spPr>
    </xdr:pic>
    <xdr:clientData/>
  </xdr:twoCellAnchor>
  <xdr:oneCellAnchor>
    <xdr:from>
      <xdr:col>5</xdr:col>
      <xdr:colOff>540962</xdr:colOff>
      <xdr:row>16</xdr:row>
      <xdr:rowOff>1</xdr:rowOff>
    </xdr:from>
    <xdr:ext cx="1517899" cy="354823"/>
    <xdr:sp macro="" textlink="">
      <xdr:nvSpPr>
        <xdr:cNvPr id="18" name="TextBox 17">
          <a:extLst>
            <a:ext uri="{FF2B5EF4-FFF2-40B4-BE49-F238E27FC236}">
              <a16:creationId xmlns:a16="http://schemas.microsoft.com/office/drawing/2014/main" id="{E1626230-C8EE-459B-B019-F6A3ED29A264}"/>
            </a:ext>
          </a:extLst>
        </xdr:cNvPr>
        <xdr:cNvSpPr txBox="1"/>
      </xdr:nvSpPr>
      <xdr:spPr>
        <a:xfrm>
          <a:off x="3588962" y="2926081"/>
          <a:ext cx="1517899" cy="354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a:p>
      </xdr:txBody>
    </xdr:sp>
    <xdr:clientData/>
  </xdr:oneCellAnchor>
  <xdr:twoCellAnchor>
    <xdr:from>
      <xdr:col>0</xdr:col>
      <xdr:colOff>140139</xdr:colOff>
      <xdr:row>14</xdr:row>
      <xdr:rowOff>56061</xdr:rowOff>
    </xdr:from>
    <xdr:to>
      <xdr:col>2</xdr:col>
      <xdr:colOff>332828</xdr:colOff>
      <xdr:row>16</xdr:row>
      <xdr:rowOff>96344</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C6CF78B9-B1F8-4CD5-BC78-45EFD5553500}"/>
            </a:ext>
          </a:extLst>
        </xdr:cNvPr>
        <xdr:cNvSpPr/>
      </xdr:nvSpPr>
      <xdr:spPr>
        <a:xfrm>
          <a:off x="140139" y="2616381"/>
          <a:ext cx="1411889" cy="406043"/>
        </a:xfrm>
        <a:prstGeom prst="roundRect">
          <a:avLst/>
        </a:prstGeom>
        <a:solidFill>
          <a:schemeClr val="accent5">
            <a:lumMod val="7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lvl="0" algn="ctr"/>
          <a:r>
            <a:rPr lang="en-IN" sz="1400" b="1">
              <a:latin typeface="Microsoft JhengHei UI Light" panose="020B0304030504040204" pitchFamily="34" charset="-120"/>
              <a:ea typeface="Microsoft JhengHei UI Light" panose="020B0304030504040204" pitchFamily="34" charset="-120"/>
            </a:rPr>
            <a:t>DASHBOARD</a:t>
          </a:r>
        </a:p>
      </xdr:txBody>
    </xdr:sp>
    <xdr:clientData/>
  </xdr:twoCellAnchor>
  <xdr:twoCellAnchor>
    <xdr:from>
      <xdr:col>0</xdr:col>
      <xdr:colOff>152395</xdr:colOff>
      <xdr:row>22</xdr:row>
      <xdr:rowOff>147149</xdr:rowOff>
    </xdr:from>
    <xdr:to>
      <xdr:col>2</xdr:col>
      <xdr:colOff>345084</xdr:colOff>
      <xdr:row>24</xdr:row>
      <xdr:rowOff>131380</xdr:rowOff>
    </xdr:to>
    <xdr:sp macro="" textlink="">
      <xdr:nvSpPr>
        <xdr:cNvPr id="21" name="Rectangle: Rounded Corners 20">
          <a:extLst>
            <a:ext uri="{FF2B5EF4-FFF2-40B4-BE49-F238E27FC236}">
              <a16:creationId xmlns:a16="http://schemas.microsoft.com/office/drawing/2014/main" id="{43E48464-02B0-4C9A-AB5D-0EF47166BE4A}"/>
            </a:ext>
          </a:extLst>
        </xdr:cNvPr>
        <xdr:cNvSpPr/>
      </xdr:nvSpPr>
      <xdr:spPr>
        <a:xfrm>
          <a:off x="152395" y="4170509"/>
          <a:ext cx="1411889" cy="349991"/>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ABOUT</a:t>
          </a:r>
        </a:p>
      </xdr:txBody>
    </xdr:sp>
    <xdr:clientData/>
  </xdr:twoCellAnchor>
  <xdr:twoCellAnchor>
    <xdr:from>
      <xdr:col>0</xdr:col>
      <xdr:colOff>138379</xdr:colOff>
      <xdr:row>19</xdr:row>
      <xdr:rowOff>176908</xdr:rowOff>
    </xdr:from>
    <xdr:to>
      <xdr:col>2</xdr:col>
      <xdr:colOff>331068</xdr:colOff>
      <xdr:row>22</xdr:row>
      <xdr:rowOff>26268</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74B2F7F6-392B-4AB6-8CBD-4128DD486D33}"/>
            </a:ext>
          </a:extLst>
        </xdr:cNvPr>
        <xdr:cNvSpPr/>
      </xdr:nvSpPr>
      <xdr:spPr>
        <a:xfrm>
          <a:off x="138379" y="3651628"/>
          <a:ext cx="1411889" cy="3980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YaHei UI Light" panose="020B0502040204020203" pitchFamily="34" charset="-122"/>
              <a:ea typeface="Microsoft YaHei UI Light" panose="020B0502040204020203" pitchFamily="34" charset="-122"/>
            </a:rPr>
            <a:t>SALESMAN</a:t>
          </a:r>
        </a:p>
      </xdr:txBody>
    </xdr:sp>
    <xdr:clientData/>
  </xdr:twoCellAnchor>
  <xdr:twoCellAnchor>
    <xdr:from>
      <xdr:col>0</xdr:col>
      <xdr:colOff>141882</xdr:colOff>
      <xdr:row>17</xdr:row>
      <xdr:rowOff>22768</xdr:rowOff>
    </xdr:from>
    <xdr:to>
      <xdr:col>2</xdr:col>
      <xdr:colOff>334571</xdr:colOff>
      <xdr:row>19</xdr:row>
      <xdr:rowOff>52544</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29A681EA-0D15-44D5-BD03-DBA048A8D68C}"/>
            </a:ext>
          </a:extLst>
        </xdr:cNvPr>
        <xdr:cNvSpPr/>
      </xdr:nvSpPr>
      <xdr:spPr>
        <a:xfrm>
          <a:off x="141882" y="3131728"/>
          <a:ext cx="1411889" cy="395536"/>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Microsoft JhengHei UI Light" panose="020B0304030504040204" pitchFamily="34" charset="-120"/>
              <a:ea typeface="Microsoft JhengHei UI Light" panose="020B0304030504040204" pitchFamily="34" charset="-120"/>
            </a:rPr>
            <a:t>PRODUCT</a:t>
          </a:r>
        </a:p>
      </xdr:txBody>
    </xdr:sp>
    <xdr:clientData/>
  </xdr:twoCellAnchor>
  <xdr:twoCellAnchor>
    <xdr:from>
      <xdr:col>6</xdr:col>
      <xdr:colOff>110289</xdr:colOff>
      <xdr:row>17</xdr:row>
      <xdr:rowOff>170447</xdr:rowOff>
    </xdr:from>
    <xdr:to>
      <xdr:col>21</xdr:col>
      <xdr:colOff>80209</xdr:colOff>
      <xdr:row>31</xdr:row>
      <xdr:rowOff>140369</xdr:rowOff>
    </xdr:to>
    <xdr:sp macro="" textlink="">
      <xdr:nvSpPr>
        <xdr:cNvPr id="8" name="TextBox 7">
          <a:extLst>
            <a:ext uri="{FF2B5EF4-FFF2-40B4-BE49-F238E27FC236}">
              <a16:creationId xmlns:a16="http://schemas.microsoft.com/office/drawing/2014/main" id="{9D2095DE-9150-D6CE-995D-0B56CC710E45}"/>
            </a:ext>
          </a:extLst>
        </xdr:cNvPr>
        <xdr:cNvSpPr txBox="1"/>
      </xdr:nvSpPr>
      <xdr:spPr>
        <a:xfrm>
          <a:off x="3779921" y="3238500"/>
          <a:ext cx="9143999" cy="2496553"/>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solidFill>
                <a:schemeClr val="bg1"/>
              </a:solidFill>
              <a:effectLst/>
              <a:latin typeface="+mn-lt"/>
              <a:ea typeface="+mn-ea"/>
              <a:cs typeface="+mn-cs"/>
            </a:rPr>
            <a:t>We are a trusted electronic shop offering quality products like mobiles, laptops, and accessories at affordable prices. We maintain strong total sales with transparent tracking of amounts and product details. Our focus is on delivering value, reliability, and the latest technology to our customers.</a:t>
          </a:r>
          <a:endParaRPr lang="en-IN" sz="2400">
            <a:solidFill>
              <a:schemeClr val="bg1"/>
            </a:solidFill>
            <a:effectLst/>
          </a:endParaRPr>
        </a:p>
        <a:p>
          <a:pPr algn="ctr"/>
          <a:endParaRPr lang="en-IN" sz="2400"/>
        </a:p>
      </xdr:txBody>
    </xdr:sp>
    <xdr:clientData/>
  </xdr:twoCellAnchor>
  <xdr:twoCellAnchor editAs="oneCell">
    <xdr:from>
      <xdr:col>0</xdr:col>
      <xdr:colOff>180975</xdr:colOff>
      <xdr:row>1</xdr:row>
      <xdr:rowOff>63500</xdr:rowOff>
    </xdr:from>
    <xdr:to>
      <xdr:col>2</xdr:col>
      <xdr:colOff>190500</xdr:colOff>
      <xdr:row>8</xdr:row>
      <xdr:rowOff>25400</xdr:rowOff>
    </xdr:to>
    <xdr:pic>
      <xdr:nvPicPr>
        <xdr:cNvPr id="9" name="Graphic 8" descr="Connections with solid fill">
          <a:extLst>
            <a:ext uri="{FF2B5EF4-FFF2-40B4-BE49-F238E27FC236}">
              <a16:creationId xmlns:a16="http://schemas.microsoft.com/office/drawing/2014/main" id="{E44F9437-0437-4C72-AAEC-724F016A42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0975" y="244475"/>
          <a:ext cx="1228725" cy="1228725"/>
        </a:xfrm>
        <a:prstGeom prst="rect">
          <a:avLst/>
        </a:prstGeom>
      </xdr:spPr>
    </xdr:pic>
    <xdr:clientData/>
  </xdr:twoCellAnchor>
  <xdr:twoCellAnchor editAs="oneCell">
    <xdr:from>
      <xdr:col>12</xdr:col>
      <xdr:colOff>161925</xdr:colOff>
      <xdr:row>1</xdr:row>
      <xdr:rowOff>38100</xdr:rowOff>
    </xdr:from>
    <xdr:to>
      <xdr:col>15</xdr:col>
      <xdr:colOff>409575</xdr:colOff>
      <xdr:row>12</xdr:row>
      <xdr:rowOff>123825</xdr:rowOff>
    </xdr:to>
    <xdr:pic>
      <xdr:nvPicPr>
        <xdr:cNvPr id="11" name="Graphic 10" descr="Business Growth with solid fill">
          <a:extLst>
            <a:ext uri="{FF2B5EF4-FFF2-40B4-BE49-F238E27FC236}">
              <a16:creationId xmlns:a16="http://schemas.microsoft.com/office/drawing/2014/main" id="{A2BB015F-7B60-B58B-6797-6A0B443BB49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477125" y="219075"/>
          <a:ext cx="2076450" cy="20764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8.753504513887" createdVersion="8" refreshedVersion="8" minRefreshableVersion="3" recordCount="366" xr:uid="{6A29BA29-B25C-4F30-AB85-03855053BB5D}">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ount="6">
        <n v="7"/>
        <n v="6"/>
        <n v="5"/>
        <n v="4"/>
        <n v="3"/>
        <n v="2"/>
      </sharedItems>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46760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x v="0"/>
  </r>
  <r>
    <n v="2"/>
    <x v="1"/>
    <x v="1"/>
    <x v="1"/>
    <x v="1"/>
    <x v="1"/>
    <n v="2100"/>
    <x v="1"/>
  </r>
  <r>
    <n v="3"/>
    <x v="2"/>
    <x v="2"/>
    <x v="0"/>
    <x v="2"/>
    <x v="2"/>
    <n v="1200"/>
    <x v="2"/>
  </r>
  <r>
    <n v="4"/>
    <x v="3"/>
    <x v="3"/>
    <x v="1"/>
    <x v="3"/>
    <x v="3"/>
    <n v="1500"/>
    <x v="2"/>
  </r>
  <r>
    <n v="5"/>
    <x v="4"/>
    <x v="4"/>
    <x v="0"/>
    <x v="4"/>
    <x v="4"/>
    <n v="300"/>
    <x v="3"/>
  </r>
  <r>
    <n v="6"/>
    <x v="5"/>
    <x v="5"/>
    <x v="0"/>
    <x v="5"/>
    <x v="5"/>
    <n v="190"/>
    <x v="4"/>
  </r>
  <r>
    <n v="7"/>
    <x v="6"/>
    <x v="0"/>
    <x v="0"/>
    <x v="0"/>
    <x v="0"/>
    <n v="210"/>
    <x v="0"/>
  </r>
  <r>
    <n v="8"/>
    <x v="7"/>
    <x v="1"/>
    <x v="1"/>
    <x v="1"/>
    <x v="1"/>
    <n v="2100"/>
    <x v="1"/>
  </r>
  <r>
    <n v="9"/>
    <x v="8"/>
    <x v="2"/>
    <x v="1"/>
    <x v="2"/>
    <x v="2"/>
    <n v="1200"/>
    <x v="2"/>
  </r>
  <r>
    <n v="10"/>
    <x v="9"/>
    <x v="3"/>
    <x v="0"/>
    <x v="3"/>
    <x v="3"/>
    <n v="1500"/>
    <x v="2"/>
  </r>
  <r>
    <n v="11"/>
    <x v="10"/>
    <x v="4"/>
    <x v="0"/>
    <x v="4"/>
    <x v="4"/>
    <n v="300"/>
    <x v="3"/>
  </r>
  <r>
    <n v="12"/>
    <x v="11"/>
    <x v="5"/>
    <x v="1"/>
    <x v="5"/>
    <x v="5"/>
    <n v="190"/>
    <x v="4"/>
  </r>
  <r>
    <n v="13"/>
    <x v="12"/>
    <x v="5"/>
    <x v="0"/>
    <x v="0"/>
    <x v="5"/>
    <n v="210"/>
    <x v="5"/>
  </r>
  <r>
    <n v="14"/>
    <x v="13"/>
    <x v="0"/>
    <x v="0"/>
    <x v="1"/>
    <x v="0"/>
    <n v="2100"/>
    <x v="6"/>
  </r>
  <r>
    <n v="15"/>
    <x v="14"/>
    <x v="1"/>
    <x v="0"/>
    <x v="2"/>
    <x v="1"/>
    <n v="1200"/>
    <x v="7"/>
  </r>
  <r>
    <n v="16"/>
    <x v="15"/>
    <x v="2"/>
    <x v="0"/>
    <x v="3"/>
    <x v="2"/>
    <n v="1500"/>
    <x v="8"/>
  </r>
  <r>
    <n v="17"/>
    <x v="16"/>
    <x v="3"/>
    <x v="0"/>
    <x v="4"/>
    <x v="3"/>
    <n v="300"/>
    <x v="9"/>
  </r>
  <r>
    <n v="18"/>
    <x v="17"/>
    <x v="4"/>
    <x v="0"/>
    <x v="5"/>
    <x v="4"/>
    <n v="190"/>
    <x v="10"/>
  </r>
  <r>
    <n v="19"/>
    <x v="18"/>
    <x v="5"/>
    <x v="0"/>
    <x v="0"/>
    <x v="5"/>
    <n v="210"/>
    <x v="5"/>
  </r>
  <r>
    <n v="20"/>
    <x v="19"/>
    <x v="0"/>
    <x v="0"/>
    <x v="2"/>
    <x v="0"/>
    <n v="2100"/>
    <x v="6"/>
  </r>
  <r>
    <n v="21"/>
    <x v="20"/>
    <x v="1"/>
    <x v="1"/>
    <x v="3"/>
    <x v="1"/>
    <n v="1200"/>
    <x v="7"/>
  </r>
  <r>
    <n v="22"/>
    <x v="21"/>
    <x v="2"/>
    <x v="0"/>
    <x v="4"/>
    <x v="2"/>
    <n v="300"/>
    <x v="11"/>
  </r>
  <r>
    <n v="23"/>
    <x v="22"/>
    <x v="3"/>
    <x v="1"/>
    <x v="5"/>
    <x v="3"/>
    <n v="200"/>
    <x v="12"/>
  </r>
  <r>
    <n v="24"/>
    <x v="23"/>
    <x v="4"/>
    <x v="0"/>
    <x v="0"/>
    <x v="4"/>
    <n v="190"/>
    <x v="10"/>
  </r>
  <r>
    <n v="25"/>
    <x v="24"/>
    <x v="5"/>
    <x v="0"/>
    <x v="1"/>
    <x v="5"/>
    <n v="2100"/>
    <x v="13"/>
  </r>
  <r>
    <n v="26"/>
    <x v="25"/>
    <x v="5"/>
    <x v="0"/>
    <x v="0"/>
    <x v="0"/>
    <n v="210"/>
    <x v="0"/>
  </r>
  <r>
    <n v="27"/>
    <x v="26"/>
    <x v="0"/>
    <x v="0"/>
    <x v="1"/>
    <x v="1"/>
    <n v="2100"/>
    <x v="1"/>
  </r>
  <r>
    <n v="28"/>
    <x v="27"/>
    <x v="0"/>
    <x v="1"/>
    <x v="0"/>
    <x v="0"/>
    <n v="210"/>
    <x v="0"/>
  </r>
  <r>
    <n v="29"/>
    <x v="28"/>
    <x v="0"/>
    <x v="2"/>
    <x v="0"/>
    <x v="0"/>
    <n v="210"/>
    <x v="0"/>
  </r>
  <r>
    <n v="30"/>
    <x v="29"/>
    <x v="0"/>
    <x v="3"/>
    <x v="0"/>
    <x v="0"/>
    <n v="210"/>
    <x v="0"/>
  </r>
  <r>
    <n v="31"/>
    <x v="30"/>
    <x v="0"/>
    <x v="0"/>
    <x v="0"/>
    <x v="0"/>
    <n v="210"/>
    <x v="0"/>
  </r>
  <r>
    <n v="32"/>
    <x v="31"/>
    <x v="0"/>
    <x v="1"/>
    <x v="0"/>
    <x v="0"/>
    <n v="210"/>
    <x v="0"/>
  </r>
  <r>
    <n v="33"/>
    <x v="32"/>
    <x v="0"/>
    <x v="2"/>
    <x v="0"/>
    <x v="0"/>
    <n v="210"/>
    <x v="0"/>
  </r>
  <r>
    <n v="34"/>
    <x v="33"/>
    <x v="0"/>
    <x v="3"/>
    <x v="0"/>
    <x v="0"/>
    <n v="210"/>
    <x v="0"/>
  </r>
  <r>
    <n v="35"/>
    <x v="34"/>
    <x v="1"/>
    <x v="1"/>
    <x v="0"/>
    <x v="0"/>
    <n v="210"/>
    <x v="0"/>
  </r>
  <r>
    <n v="36"/>
    <x v="35"/>
    <x v="1"/>
    <x v="0"/>
    <x v="0"/>
    <x v="0"/>
    <n v="210"/>
    <x v="0"/>
  </r>
  <r>
    <n v="37"/>
    <x v="36"/>
    <x v="1"/>
    <x v="2"/>
    <x v="5"/>
    <x v="5"/>
    <n v="190"/>
    <x v="4"/>
  </r>
  <r>
    <n v="38"/>
    <x v="37"/>
    <x v="1"/>
    <x v="3"/>
    <x v="0"/>
    <x v="5"/>
    <n v="210"/>
    <x v="5"/>
  </r>
  <r>
    <n v="39"/>
    <x v="38"/>
    <x v="1"/>
    <x v="1"/>
    <x v="1"/>
    <x v="0"/>
    <n v="2100"/>
    <x v="6"/>
  </r>
  <r>
    <n v="40"/>
    <x v="39"/>
    <x v="1"/>
    <x v="0"/>
    <x v="2"/>
    <x v="1"/>
    <n v="1200"/>
    <x v="7"/>
  </r>
  <r>
    <n v="41"/>
    <x v="40"/>
    <x v="1"/>
    <x v="2"/>
    <x v="1"/>
    <x v="0"/>
    <n v="2100"/>
    <x v="6"/>
  </r>
  <r>
    <n v="42"/>
    <x v="41"/>
    <x v="1"/>
    <x v="3"/>
    <x v="1"/>
    <x v="0"/>
    <n v="2100"/>
    <x v="6"/>
  </r>
  <r>
    <n v="43"/>
    <x v="42"/>
    <x v="2"/>
    <x v="3"/>
    <x v="1"/>
    <x v="0"/>
    <n v="2100"/>
    <x v="6"/>
  </r>
  <r>
    <n v="44"/>
    <x v="43"/>
    <x v="3"/>
    <x v="3"/>
    <x v="1"/>
    <x v="0"/>
    <n v="2100"/>
    <x v="6"/>
  </r>
  <r>
    <n v="45"/>
    <x v="44"/>
    <x v="4"/>
    <x v="3"/>
    <x v="1"/>
    <x v="0"/>
    <n v="2100"/>
    <x v="6"/>
  </r>
  <r>
    <n v="46"/>
    <x v="45"/>
    <x v="5"/>
    <x v="3"/>
    <x v="1"/>
    <x v="0"/>
    <n v="2100"/>
    <x v="6"/>
  </r>
  <r>
    <n v="47"/>
    <x v="46"/>
    <x v="5"/>
    <x v="0"/>
    <x v="1"/>
    <x v="0"/>
    <n v="2100"/>
    <x v="6"/>
  </r>
  <r>
    <n v="48"/>
    <x v="47"/>
    <x v="5"/>
    <x v="1"/>
    <x v="1"/>
    <x v="0"/>
    <n v="2100"/>
    <x v="6"/>
  </r>
  <r>
    <n v="49"/>
    <x v="48"/>
    <x v="5"/>
    <x v="2"/>
    <x v="1"/>
    <x v="0"/>
    <n v="2100"/>
    <x v="6"/>
  </r>
  <r>
    <n v="50"/>
    <x v="49"/>
    <x v="5"/>
    <x v="3"/>
    <x v="1"/>
    <x v="0"/>
    <n v="2100"/>
    <x v="6"/>
  </r>
  <r>
    <n v="51"/>
    <x v="50"/>
    <x v="5"/>
    <x v="0"/>
    <x v="0"/>
    <x v="0"/>
    <n v="210"/>
    <x v="0"/>
  </r>
  <r>
    <n v="52"/>
    <x v="51"/>
    <x v="5"/>
    <x v="1"/>
    <x v="1"/>
    <x v="1"/>
    <n v="2100"/>
    <x v="1"/>
  </r>
  <r>
    <n v="53"/>
    <x v="52"/>
    <x v="5"/>
    <x v="2"/>
    <x v="2"/>
    <x v="2"/>
    <n v="1200"/>
    <x v="2"/>
  </r>
  <r>
    <n v="54"/>
    <x v="53"/>
    <x v="5"/>
    <x v="3"/>
    <x v="3"/>
    <x v="3"/>
    <n v="1500"/>
    <x v="2"/>
  </r>
  <r>
    <n v="55"/>
    <x v="54"/>
    <x v="0"/>
    <x v="0"/>
    <x v="4"/>
    <x v="4"/>
    <n v="300"/>
    <x v="3"/>
  </r>
  <r>
    <n v="56"/>
    <x v="55"/>
    <x v="1"/>
    <x v="1"/>
    <x v="5"/>
    <x v="5"/>
    <n v="190"/>
    <x v="4"/>
  </r>
  <r>
    <n v="57"/>
    <x v="56"/>
    <x v="2"/>
    <x v="0"/>
    <x v="0"/>
    <x v="0"/>
    <n v="210"/>
    <x v="0"/>
  </r>
  <r>
    <n v="58"/>
    <x v="57"/>
    <x v="3"/>
    <x v="1"/>
    <x v="1"/>
    <x v="1"/>
    <n v="2100"/>
    <x v="1"/>
  </r>
  <r>
    <n v="59"/>
    <x v="58"/>
    <x v="4"/>
    <x v="0"/>
    <x v="2"/>
    <x v="2"/>
    <n v="1200"/>
    <x v="2"/>
  </r>
  <r>
    <n v="60"/>
    <x v="59"/>
    <x v="5"/>
    <x v="0"/>
    <x v="3"/>
    <x v="3"/>
    <n v="1500"/>
    <x v="2"/>
  </r>
  <r>
    <n v="61"/>
    <x v="60"/>
    <x v="0"/>
    <x v="0"/>
    <x v="4"/>
    <x v="4"/>
    <n v="300"/>
    <x v="3"/>
  </r>
  <r>
    <n v="62"/>
    <x v="61"/>
    <x v="1"/>
    <x v="1"/>
    <x v="5"/>
    <x v="5"/>
    <n v="190"/>
    <x v="4"/>
  </r>
  <r>
    <n v="63"/>
    <x v="62"/>
    <x v="2"/>
    <x v="1"/>
    <x v="0"/>
    <x v="5"/>
    <n v="210"/>
    <x v="5"/>
  </r>
  <r>
    <n v="64"/>
    <x v="63"/>
    <x v="3"/>
    <x v="0"/>
    <x v="1"/>
    <x v="0"/>
    <n v="2100"/>
    <x v="6"/>
  </r>
  <r>
    <n v="65"/>
    <x v="64"/>
    <x v="4"/>
    <x v="0"/>
    <x v="2"/>
    <x v="1"/>
    <n v="1200"/>
    <x v="7"/>
  </r>
  <r>
    <n v="66"/>
    <x v="65"/>
    <x v="5"/>
    <x v="1"/>
    <x v="3"/>
    <x v="2"/>
    <n v="1500"/>
    <x v="8"/>
  </r>
  <r>
    <n v="67"/>
    <x v="66"/>
    <x v="5"/>
    <x v="0"/>
    <x v="4"/>
    <x v="3"/>
    <n v="300"/>
    <x v="9"/>
  </r>
  <r>
    <n v="68"/>
    <x v="67"/>
    <x v="0"/>
    <x v="0"/>
    <x v="5"/>
    <x v="4"/>
    <n v="190"/>
    <x v="10"/>
  </r>
  <r>
    <n v="69"/>
    <x v="68"/>
    <x v="1"/>
    <x v="0"/>
    <x v="0"/>
    <x v="5"/>
    <n v="210"/>
    <x v="5"/>
  </r>
  <r>
    <n v="70"/>
    <x v="69"/>
    <x v="2"/>
    <x v="0"/>
    <x v="5"/>
    <x v="4"/>
    <n v="190"/>
    <x v="10"/>
  </r>
  <r>
    <n v="71"/>
    <x v="70"/>
    <x v="3"/>
    <x v="0"/>
    <x v="0"/>
    <x v="5"/>
    <n v="210"/>
    <x v="5"/>
  </r>
  <r>
    <n v="72"/>
    <x v="71"/>
    <x v="4"/>
    <x v="0"/>
    <x v="5"/>
    <x v="4"/>
    <n v="190"/>
    <x v="10"/>
  </r>
  <r>
    <n v="73"/>
    <x v="72"/>
    <x v="5"/>
    <x v="0"/>
    <x v="0"/>
    <x v="5"/>
    <n v="210"/>
    <x v="5"/>
  </r>
  <r>
    <n v="74"/>
    <x v="73"/>
    <x v="0"/>
    <x v="0"/>
    <x v="5"/>
    <x v="4"/>
    <n v="190"/>
    <x v="10"/>
  </r>
  <r>
    <n v="75"/>
    <x v="74"/>
    <x v="1"/>
    <x v="1"/>
    <x v="0"/>
    <x v="5"/>
    <n v="210"/>
    <x v="5"/>
  </r>
  <r>
    <n v="76"/>
    <x v="75"/>
    <x v="2"/>
    <x v="0"/>
    <x v="5"/>
    <x v="4"/>
    <n v="190"/>
    <x v="10"/>
  </r>
  <r>
    <n v="77"/>
    <x v="76"/>
    <x v="3"/>
    <x v="1"/>
    <x v="0"/>
    <x v="5"/>
    <n v="210"/>
    <x v="5"/>
  </r>
  <r>
    <n v="78"/>
    <x v="77"/>
    <x v="4"/>
    <x v="0"/>
    <x v="2"/>
    <x v="2"/>
    <n v="1200"/>
    <x v="2"/>
  </r>
  <r>
    <n v="79"/>
    <x v="78"/>
    <x v="5"/>
    <x v="0"/>
    <x v="3"/>
    <x v="3"/>
    <n v="1500"/>
    <x v="2"/>
  </r>
  <r>
    <n v="80"/>
    <x v="79"/>
    <x v="5"/>
    <x v="0"/>
    <x v="4"/>
    <x v="4"/>
    <n v="300"/>
    <x v="3"/>
  </r>
  <r>
    <n v="81"/>
    <x v="80"/>
    <x v="0"/>
    <x v="0"/>
    <x v="5"/>
    <x v="5"/>
    <n v="190"/>
    <x v="4"/>
  </r>
  <r>
    <n v="82"/>
    <x v="81"/>
    <x v="0"/>
    <x v="1"/>
    <x v="0"/>
    <x v="0"/>
    <n v="210"/>
    <x v="0"/>
  </r>
  <r>
    <n v="83"/>
    <x v="82"/>
    <x v="0"/>
    <x v="2"/>
    <x v="1"/>
    <x v="1"/>
    <n v="2100"/>
    <x v="1"/>
  </r>
  <r>
    <n v="84"/>
    <x v="83"/>
    <x v="0"/>
    <x v="3"/>
    <x v="2"/>
    <x v="2"/>
    <n v="1200"/>
    <x v="2"/>
  </r>
  <r>
    <n v="85"/>
    <x v="84"/>
    <x v="0"/>
    <x v="0"/>
    <x v="3"/>
    <x v="3"/>
    <n v="1500"/>
    <x v="2"/>
  </r>
  <r>
    <n v="86"/>
    <x v="85"/>
    <x v="0"/>
    <x v="1"/>
    <x v="4"/>
    <x v="4"/>
    <n v="300"/>
    <x v="3"/>
  </r>
  <r>
    <n v="87"/>
    <x v="86"/>
    <x v="0"/>
    <x v="2"/>
    <x v="5"/>
    <x v="5"/>
    <n v="190"/>
    <x v="4"/>
  </r>
  <r>
    <n v="88"/>
    <x v="87"/>
    <x v="0"/>
    <x v="3"/>
    <x v="0"/>
    <x v="5"/>
    <n v="210"/>
    <x v="5"/>
  </r>
  <r>
    <n v="89"/>
    <x v="88"/>
    <x v="1"/>
    <x v="1"/>
    <x v="4"/>
    <x v="4"/>
    <n v="300"/>
    <x v="3"/>
  </r>
  <r>
    <n v="90"/>
    <x v="89"/>
    <x v="1"/>
    <x v="0"/>
    <x v="4"/>
    <x v="4"/>
    <n v="300"/>
    <x v="3"/>
  </r>
  <r>
    <n v="91"/>
    <x v="90"/>
    <x v="1"/>
    <x v="2"/>
    <x v="4"/>
    <x v="4"/>
    <n v="300"/>
    <x v="3"/>
  </r>
  <r>
    <n v="92"/>
    <x v="91"/>
    <x v="1"/>
    <x v="3"/>
    <x v="4"/>
    <x v="4"/>
    <n v="300"/>
    <x v="3"/>
  </r>
  <r>
    <n v="93"/>
    <x v="92"/>
    <x v="1"/>
    <x v="1"/>
    <x v="4"/>
    <x v="4"/>
    <n v="300"/>
    <x v="3"/>
  </r>
  <r>
    <n v="94"/>
    <x v="93"/>
    <x v="1"/>
    <x v="0"/>
    <x v="4"/>
    <x v="4"/>
    <n v="300"/>
    <x v="3"/>
  </r>
  <r>
    <n v="95"/>
    <x v="94"/>
    <x v="1"/>
    <x v="2"/>
    <x v="4"/>
    <x v="4"/>
    <n v="300"/>
    <x v="3"/>
  </r>
  <r>
    <n v="96"/>
    <x v="95"/>
    <x v="1"/>
    <x v="3"/>
    <x v="4"/>
    <x v="4"/>
    <n v="300"/>
    <x v="3"/>
  </r>
  <r>
    <n v="97"/>
    <x v="96"/>
    <x v="2"/>
    <x v="3"/>
    <x v="4"/>
    <x v="4"/>
    <n v="300"/>
    <x v="3"/>
  </r>
  <r>
    <n v="98"/>
    <x v="97"/>
    <x v="3"/>
    <x v="3"/>
    <x v="4"/>
    <x v="4"/>
    <n v="300"/>
    <x v="3"/>
  </r>
  <r>
    <n v="99"/>
    <x v="98"/>
    <x v="4"/>
    <x v="3"/>
    <x v="0"/>
    <x v="4"/>
    <n v="190"/>
    <x v="10"/>
  </r>
  <r>
    <n v="100"/>
    <x v="99"/>
    <x v="5"/>
    <x v="3"/>
    <x v="1"/>
    <x v="5"/>
    <n v="2100"/>
    <x v="13"/>
  </r>
  <r>
    <n v="101"/>
    <x v="100"/>
    <x v="5"/>
    <x v="0"/>
    <x v="0"/>
    <x v="0"/>
    <n v="210"/>
    <x v="0"/>
  </r>
  <r>
    <n v="102"/>
    <x v="101"/>
    <x v="5"/>
    <x v="1"/>
    <x v="1"/>
    <x v="1"/>
    <n v="2100"/>
    <x v="1"/>
  </r>
  <r>
    <n v="103"/>
    <x v="102"/>
    <x v="5"/>
    <x v="2"/>
    <x v="2"/>
    <x v="2"/>
    <n v="1200"/>
    <x v="2"/>
  </r>
  <r>
    <n v="104"/>
    <x v="103"/>
    <x v="5"/>
    <x v="3"/>
    <x v="1"/>
    <x v="1"/>
    <n v="2100"/>
    <x v="1"/>
  </r>
  <r>
    <n v="105"/>
    <x v="104"/>
    <x v="5"/>
    <x v="0"/>
    <x v="2"/>
    <x v="2"/>
    <n v="1200"/>
    <x v="2"/>
  </r>
  <r>
    <n v="106"/>
    <x v="105"/>
    <x v="5"/>
    <x v="1"/>
    <x v="5"/>
    <x v="5"/>
    <n v="190"/>
    <x v="4"/>
  </r>
  <r>
    <n v="107"/>
    <x v="106"/>
    <x v="5"/>
    <x v="2"/>
    <x v="1"/>
    <x v="1"/>
    <n v="2100"/>
    <x v="1"/>
  </r>
  <r>
    <n v="108"/>
    <x v="107"/>
    <x v="5"/>
    <x v="3"/>
    <x v="2"/>
    <x v="2"/>
    <n v="1200"/>
    <x v="2"/>
  </r>
  <r>
    <n v="109"/>
    <x v="108"/>
    <x v="0"/>
    <x v="0"/>
    <x v="1"/>
    <x v="1"/>
    <n v="2100"/>
    <x v="1"/>
  </r>
  <r>
    <n v="110"/>
    <x v="109"/>
    <x v="1"/>
    <x v="1"/>
    <x v="2"/>
    <x v="2"/>
    <n v="1200"/>
    <x v="2"/>
  </r>
  <r>
    <n v="111"/>
    <x v="110"/>
    <x v="2"/>
    <x v="0"/>
    <x v="1"/>
    <x v="1"/>
    <n v="2100"/>
    <x v="1"/>
  </r>
  <r>
    <n v="112"/>
    <x v="111"/>
    <x v="3"/>
    <x v="1"/>
    <x v="2"/>
    <x v="2"/>
    <n v="1200"/>
    <x v="2"/>
  </r>
  <r>
    <n v="113"/>
    <x v="112"/>
    <x v="4"/>
    <x v="0"/>
    <x v="0"/>
    <x v="5"/>
    <n v="210"/>
    <x v="5"/>
  </r>
  <r>
    <n v="114"/>
    <x v="113"/>
    <x v="5"/>
    <x v="0"/>
    <x v="1"/>
    <x v="0"/>
    <n v="2100"/>
    <x v="6"/>
  </r>
  <r>
    <n v="115"/>
    <x v="114"/>
    <x v="0"/>
    <x v="0"/>
    <x v="2"/>
    <x v="1"/>
    <n v="1200"/>
    <x v="7"/>
  </r>
  <r>
    <n v="116"/>
    <x v="115"/>
    <x v="1"/>
    <x v="1"/>
    <x v="3"/>
    <x v="2"/>
    <n v="1500"/>
    <x v="8"/>
  </r>
  <r>
    <n v="117"/>
    <x v="116"/>
    <x v="2"/>
    <x v="1"/>
    <x v="4"/>
    <x v="3"/>
    <n v="300"/>
    <x v="9"/>
  </r>
  <r>
    <n v="118"/>
    <x v="117"/>
    <x v="3"/>
    <x v="0"/>
    <x v="5"/>
    <x v="4"/>
    <n v="190"/>
    <x v="10"/>
  </r>
  <r>
    <n v="119"/>
    <x v="118"/>
    <x v="4"/>
    <x v="0"/>
    <x v="0"/>
    <x v="5"/>
    <n v="210"/>
    <x v="5"/>
  </r>
  <r>
    <n v="120"/>
    <x v="119"/>
    <x v="5"/>
    <x v="1"/>
    <x v="2"/>
    <x v="0"/>
    <n v="2100"/>
    <x v="6"/>
  </r>
  <r>
    <n v="121"/>
    <x v="120"/>
    <x v="5"/>
    <x v="0"/>
    <x v="3"/>
    <x v="1"/>
    <n v="1200"/>
    <x v="7"/>
  </r>
  <r>
    <n v="122"/>
    <x v="121"/>
    <x v="0"/>
    <x v="0"/>
    <x v="4"/>
    <x v="2"/>
    <n v="300"/>
    <x v="11"/>
  </r>
  <r>
    <n v="123"/>
    <x v="122"/>
    <x v="1"/>
    <x v="0"/>
    <x v="5"/>
    <x v="3"/>
    <n v="200"/>
    <x v="12"/>
  </r>
  <r>
    <n v="124"/>
    <x v="123"/>
    <x v="2"/>
    <x v="0"/>
    <x v="0"/>
    <x v="4"/>
    <n v="190"/>
    <x v="10"/>
  </r>
  <r>
    <n v="125"/>
    <x v="124"/>
    <x v="3"/>
    <x v="0"/>
    <x v="1"/>
    <x v="5"/>
    <n v="2100"/>
    <x v="13"/>
  </r>
  <r>
    <n v="126"/>
    <x v="125"/>
    <x v="4"/>
    <x v="0"/>
    <x v="0"/>
    <x v="0"/>
    <n v="210"/>
    <x v="0"/>
  </r>
  <r>
    <n v="127"/>
    <x v="126"/>
    <x v="5"/>
    <x v="0"/>
    <x v="1"/>
    <x v="1"/>
    <n v="2100"/>
    <x v="1"/>
  </r>
  <r>
    <n v="128"/>
    <x v="127"/>
    <x v="0"/>
    <x v="0"/>
    <x v="2"/>
    <x v="2"/>
    <n v="1200"/>
    <x v="2"/>
  </r>
  <r>
    <n v="129"/>
    <x v="128"/>
    <x v="1"/>
    <x v="1"/>
    <x v="3"/>
    <x v="3"/>
    <n v="1500"/>
    <x v="2"/>
  </r>
  <r>
    <n v="130"/>
    <x v="129"/>
    <x v="2"/>
    <x v="0"/>
    <x v="4"/>
    <x v="4"/>
    <n v="300"/>
    <x v="3"/>
  </r>
  <r>
    <n v="131"/>
    <x v="130"/>
    <x v="3"/>
    <x v="1"/>
    <x v="5"/>
    <x v="5"/>
    <n v="190"/>
    <x v="4"/>
  </r>
  <r>
    <n v="132"/>
    <x v="131"/>
    <x v="4"/>
    <x v="0"/>
    <x v="0"/>
    <x v="0"/>
    <n v="210"/>
    <x v="0"/>
  </r>
  <r>
    <n v="133"/>
    <x v="132"/>
    <x v="5"/>
    <x v="0"/>
    <x v="1"/>
    <x v="1"/>
    <n v="2100"/>
    <x v="1"/>
  </r>
  <r>
    <n v="134"/>
    <x v="133"/>
    <x v="5"/>
    <x v="0"/>
    <x v="2"/>
    <x v="2"/>
    <n v="1200"/>
    <x v="2"/>
  </r>
  <r>
    <n v="135"/>
    <x v="134"/>
    <x v="0"/>
    <x v="0"/>
    <x v="3"/>
    <x v="3"/>
    <n v="1500"/>
    <x v="2"/>
  </r>
  <r>
    <n v="136"/>
    <x v="135"/>
    <x v="0"/>
    <x v="1"/>
    <x v="4"/>
    <x v="4"/>
    <n v="300"/>
    <x v="3"/>
  </r>
  <r>
    <n v="137"/>
    <x v="136"/>
    <x v="0"/>
    <x v="2"/>
    <x v="5"/>
    <x v="5"/>
    <n v="190"/>
    <x v="4"/>
  </r>
  <r>
    <n v="138"/>
    <x v="137"/>
    <x v="0"/>
    <x v="3"/>
    <x v="0"/>
    <x v="5"/>
    <n v="210"/>
    <x v="5"/>
  </r>
  <r>
    <n v="139"/>
    <x v="138"/>
    <x v="0"/>
    <x v="0"/>
    <x v="1"/>
    <x v="0"/>
    <n v="2100"/>
    <x v="6"/>
  </r>
  <r>
    <n v="140"/>
    <x v="139"/>
    <x v="0"/>
    <x v="1"/>
    <x v="2"/>
    <x v="1"/>
    <n v="1200"/>
    <x v="7"/>
  </r>
  <r>
    <n v="141"/>
    <x v="140"/>
    <x v="0"/>
    <x v="2"/>
    <x v="3"/>
    <x v="2"/>
    <n v="1500"/>
    <x v="8"/>
  </r>
  <r>
    <n v="142"/>
    <x v="141"/>
    <x v="0"/>
    <x v="3"/>
    <x v="4"/>
    <x v="3"/>
    <n v="300"/>
    <x v="9"/>
  </r>
  <r>
    <n v="143"/>
    <x v="142"/>
    <x v="1"/>
    <x v="1"/>
    <x v="5"/>
    <x v="4"/>
    <n v="190"/>
    <x v="10"/>
  </r>
  <r>
    <n v="144"/>
    <x v="143"/>
    <x v="1"/>
    <x v="0"/>
    <x v="4"/>
    <x v="3"/>
    <n v="300"/>
    <x v="9"/>
  </r>
  <r>
    <n v="145"/>
    <x v="144"/>
    <x v="1"/>
    <x v="2"/>
    <x v="4"/>
    <x v="3"/>
    <n v="300"/>
    <x v="9"/>
  </r>
  <r>
    <n v="146"/>
    <x v="145"/>
    <x v="1"/>
    <x v="3"/>
    <x v="4"/>
    <x v="3"/>
    <n v="300"/>
    <x v="9"/>
  </r>
  <r>
    <n v="147"/>
    <x v="146"/>
    <x v="1"/>
    <x v="1"/>
    <x v="4"/>
    <x v="3"/>
    <n v="300"/>
    <x v="9"/>
  </r>
  <r>
    <n v="148"/>
    <x v="147"/>
    <x v="1"/>
    <x v="0"/>
    <x v="4"/>
    <x v="3"/>
    <n v="300"/>
    <x v="9"/>
  </r>
  <r>
    <n v="149"/>
    <x v="148"/>
    <x v="1"/>
    <x v="2"/>
    <x v="4"/>
    <x v="3"/>
    <n v="300"/>
    <x v="9"/>
  </r>
  <r>
    <n v="150"/>
    <x v="149"/>
    <x v="1"/>
    <x v="3"/>
    <x v="4"/>
    <x v="3"/>
    <n v="300"/>
    <x v="9"/>
  </r>
  <r>
    <n v="151"/>
    <x v="150"/>
    <x v="2"/>
    <x v="3"/>
    <x v="4"/>
    <x v="3"/>
    <n v="300"/>
    <x v="9"/>
  </r>
  <r>
    <n v="152"/>
    <x v="151"/>
    <x v="3"/>
    <x v="3"/>
    <x v="1"/>
    <x v="1"/>
    <n v="2100"/>
    <x v="1"/>
  </r>
  <r>
    <n v="153"/>
    <x v="152"/>
    <x v="4"/>
    <x v="3"/>
    <x v="2"/>
    <x v="2"/>
    <n v="1200"/>
    <x v="2"/>
  </r>
  <r>
    <n v="154"/>
    <x v="153"/>
    <x v="5"/>
    <x v="3"/>
    <x v="3"/>
    <x v="3"/>
    <n v="1500"/>
    <x v="2"/>
  </r>
  <r>
    <n v="155"/>
    <x v="154"/>
    <x v="5"/>
    <x v="0"/>
    <x v="4"/>
    <x v="4"/>
    <n v="300"/>
    <x v="3"/>
  </r>
  <r>
    <n v="156"/>
    <x v="155"/>
    <x v="5"/>
    <x v="1"/>
    <x v="5"/>
    <x v="5"/>
    <n v="190"/>
    <x v="4"/>
  </r>
  <r>
    <n v="157"/>
    <x v="156"/>
    <x v="5"/>
    <x v="2"/>
    <x v="0"/>
    <x v="0"/>
    <n v="210"/>
    <x v="0"/>
  </r>
  <r>
    <n v="158"/>
    <x v="157"/>
    <x v="5"/>
    <x v="3"/>
    <x v="1"/>
    <x v="1"/>
    <n v="2100"/>
    <x v="1"/>
  </r>
  <r>
    <n v="159"/>
    <x v="158"/>
    <x v="5"/>
    <x v="0"/>
    <x v="2"/>
    <x v="2"/>
    <n v="1200"/>
    <x v="2"/>
  </r>
  <r>
    <n v="160"/>
    <x v="159"/>
    <x v="5"/>
    <x v="1"/>
    <x v="3"/>
    <x v="3"/>
    <n v="1500"/>
    <x v="2"/>
  </r>
  <r>
    <n v="161"/>
    <x v="160"/>
    <x v="5"/>
    <x v="2"/>
    <x v="4"/>
    <x v="4"/>
    <n v="300"/>
    <x v="3"/>
  </r>
  <r>
    <n v="162"/>
    <x v="161"/>
    <x v="5"/>
    <x v="3"/>
    <x v="5"/>
    <x v="5"/>
    <n v="190"/>
    <x v="4"/>
  </r>
  <r>
    <n v="163"/>
    <x v="162"/>
    <x v="0"/>
    <x v="0"/>
    <x v="0"/>
    <x v="5"/>
    <n v="210"/>
    <x v="5"/>
  </r>
  <r>
    <n v="164"/>
    <x v="163"/>
    <x v="1"/>
    <x v="1"/>
    <x v="1"/>
    <x v="0"/>
    <n v="2100"/>
    <x v="6"/>
  </r>
  <r>
    <n v="165"/>
    <x v="164"/>
    <x v="2"/>
    <x v="0"/>
    <x v="2"/>
    <x v="1"/>
    <n v="1200"/>
    <x v="7"/>
  </r>
  <r>
    <n v="166"/>
    <x v="165"/>
    <x v="3"/>
    <x v="1"/>
    <x v="3"/>
    <x v="2"/>
    <n v="1500"/>
    <x v="8"/>
  </r>
  <r>
    <n v="167"/>
    <x v="166"/>
    <x v="4"/>
    <x v="0"/>
    <x v="4"/>
    <x v="3"/>
    <n v="300"/>
    <x v="9"/>
  </r>
  <r>
    <n v="168"/>
    <x v="167"/>
    <x v="5"/>
    <x v="0"/>
    <x v="5"/>
    <x v="4"/>
    <n v="190"/>
    <x v="10"/>
  </r>
  <r>
    <n v="169"/>
    <x v="168"/>
    <x v="0"/>
    <x v="0"/>
    <x v="0"/>
    <x v="5"/>
    <n v="210"/>
    <x v="5"/>
  </r>
  <r>
    <n v="170"/>
    <x v="169"/>
    <x v="1"/>
    <x v="1"/>
    <x v="2"/>
    <x v="0"/>
    <n v="2100"/>
    <x v="6"/>
  </r>
  <r>
    <n v="171"/>
    <x v="170"/>
    <x v="2"/>
    <x v="1"/>
    <x v="3"/>
    <x v="1"/>
    <n v="1200"/>
    <x v="7"/>
  </r>
  <r>
    <n v="172"/>
    <x v="171"/>
    <x v="3"/>
    <x v="0"/>
    <x v="4"/>
    <x v="2"/>
    <n v="300"/>
    <x v="11"/>
  </r>
  <r>
    <n v="173"/>
    <x v="172"/>
    <x v="4"/>
    <x v="0"/>
    <x v="5"/>
    <x v="3"/>
    <n v="200"/>
    <x v="12"/>
  </r>
  <r>
    <n v="174"/>
    <x v="173"/>
    <x v="5"/>
    <x v="1"/>
    <x v="0"/>
    <x v="4"/>
    <n v="190"/>
    <x v="10"/>
  </r>
  <r>
    <n v="175"/>
    <x v="174"/>
    <x v="5"/>
    <x v="0"/>
    <x v="1"/>
    <x v="5"/>
    <n v="2100"/>
    <x v="13"/>
  </r>
  <r>
    <n v="176"/>
    <x v="175"/>
    <x v="0"/>
    <x v="0"/>
    <x v="0"/>
    <x v="0"/>
    <n v="210"/>
    <x v="0"/>
  </r>
  <r>
    <n v="177"/>
    <x v="176"/>
    <x v="1"/>
    <x v="0"/>
    <x v="0"/>
    <x v="4"/>
    <n v="190"/>
    <x v="10"/>
  </r>
  <r>
    <n v="178"/>
    <x v="177"/>
    <x v="2"/>
    <x v="0"/>
    <x v="0"/>
    <x v="4"/>
    <n v="190"/>
    <x v="10"/>
  </r>
  <r>
    <n v="179"/>
    <x v="178"/>
    <x v="3"/>
    <x v="0"/>
    <x v="0"/>
    <x v="4"/>
    <n v="190"/>
    <x v="10"/>
  </r>
  <r>
    <n v="180"/>
    <x v="179"/>
    <x v="4"/>
    <x v="0"/>
    <x v="0"/>
    <x v="4"/>
    <n v="190"/>
    <x v="10"/>
  </r>
  <r>
    <n v="181"/>
    <x v="180"/>
    <x v="5"/>
    <x v="0"/>
    <x v="0"/>
    <x v="4"/>
    <n v="190"/>
    <x v="10"/>
  </r>
  <r>
    <n v="182"/>
    <x v="181"/>
    <x v="0"/>
    <x v="0"/>
    <x v="0"/>
    <x v="4"/>
    <n v="190"/>
    <x v="10"/>
  </r>
  <r>
    <n v="183"/>
    <x v="182"/>
    <x v="1"/>
    <x v="1"/>
    <x v="0"/>
    <x v="4"/>
    <n v="190"/>
    <x v="10"/>
  </r>
  <r>
    <n v="184"/>
    <x v="183"/>
    <x v="2"/>
    <x v="0"/>
    <x v="2"/>
    <x v="2"/>
    <n v="1200"/>
    <x v="2"/>
  </r>
  <r>
    <n v="185"/>
    <x v="184"/>
    <x v="3"/>
    <x v="1"/>
    <x v="3"/>
    <x v="3"/>
    <n v="1500"/>
    <x v="2"/>
  </r>
  <r>
    <n v="186"/>
    <x v="185"/>
    <x v="4"/>
    <x v="0"/>
    <x v="4"/>
    <x v="4"/>
    <n v="300"/>
    <x v="3"/>
  </r>
  <r>
    <n v="187"/>
    <x v="186"/>
    <x v="5"/>
    <x v="0"/>
    <x v="5"/>
    <x v="5"/>
    <n v="190"/>
    <x v="4"/>
  </r>
  <r>
    <n v="188"/>
    <x v="187"/>
    <x v="5"/>
    <x v="0"/>
    <x v="0"/>
    <x v="5"/>
    <n v="210"/>
    <x v="5"/>
  </r>
  <r>
    <n v="189"/>
    <x v="188"/>
    <x v="0"/>
    <x v="0"/>
    <x v="1"/>
    <x v="0"/>
    <n v="2100"/>
    <x v="6"/>
  </r>
  <r>
    <n v="190"/>
    <x v="189"/>
    <x v="0"/>
    <x v="1"/>
    <x v="2"/>
    <x v="1"/>
    <n v="1200"/>
    <x v="7"/>
  </r>
  <r>
    <n v="191"/>
    <x v="190"/>
    <x v="0"/>
    <x v="2"/>
    <x v="3"/>
    <x v="2"/>
    <n v="1500"/>
    <x v="8"/>
  </r>
  <r>
    <n v="192"/>
    <x v="191"/>
    <x v="0"/>
    <x v="3"/>
    <x v="4"/>
    <x v="3"/>
    <n v="300"/>
    <x v="9"/>
  </r>
  <r>
    <n v="193"/>
    <x v="192"/>
    <x v="0"/>
    <x v="0"/>
    <x v="5"/>
    <x v="4"/>
    <n v="190"/>
    <x v="10"/>
  </r>
  <r>
    <n v="194"/>
    <x v="193"/>
    <x v="0"/>
    <x v="1"/>
    <x v="0"/>
    <x v="5"/>
    <n v="210"/>
    <x v="5"/>
  </r>
  <r>
    <n v="195"/>
    <x v="194"/>
    <x v="0"/>
    <x v="2"/>
    <x v="2"/>
    <x v="0"/>
    <n v="2100"/>
    <x v="6"/>
  </r>
  <r>
    <n v="196"/>
    <x v="195"/>
    <x v="0"/>
    <x v="3"/>
    <x v="3"/>
    <x v="1"/>
    <n v="1200"/>
    <x v="7"/>
  </r>
  <r>
    <n v="197"/>
    <x v="196"/>
    <x v="1"/>
    <x v="1"/>
    <x v="4"/>
    <x v="2"/>
    <n v="300"/>
    <x v="11"/>
  </r>
  <r>
    <n v="198"/>
    <x v="197"/>
    <x v="1"/>
    <x v="0"/>
    <x v="5"/>
    <x v="3"/>
    <n v="200"/>
    <x v="12"/>
  </r>
  <r>
    <n v="199"/>
    <x v="198"/>
    <x v="1"/>
    <x v="2"/>
    <x v="0"/>
    <x v="4"/>
    <n v="190"/>
    <x v="10"/>
  </r>
  <r>
    <n v="200"/>
    <x v="199"/>
    <x v="1"/>
    <x v="3"/>
    <x v="1"/>
    <x v="5"/>
    <n v="2100"/>
    <x v="13"/>
  </r>
  <r>
    <n v="201"/>
    <x v="200"/>
    <x v="1"/>
    <x v="1"/>
    <x v="0"/>
    <x v="0"/>
    <n v="210"/>
    <x v="0"/>
  </r>
  <r>
    <n v="202"/>
    <x v="201"/>
    <x v="1"/>
    <x v="0"/>
    <x v="1"/>
    <x v="1"/>
    <n v="2100"/>
    <x v="1"/>
  </r>
  <r>
    <n v="203"/>
    <x v="202"/>
    <x v="1"/>
    <x v="2"/>
    <x v="2"/>
    <x v="2"/>
    <n v="1200"/>
    <x v="2"/>
  </r>
  <r>
    <n v="204"/>
    <x v="203"/>
    <x v="1"/>
    <x v="3"/>
    <x v="3"/>
    <x v="3"/>
    <n v="1500"/>
    <x v="2"/>
  </r>
  <r>
    <n v="205"/>
    <x v="204"/>
    <x v="2"/>
    <x v="3"/>
    <x v="4"/>
    <x v="4"/>
    <n v="300"/>
    <x v="3"/>
  </r>
  <r>
    <n v="206"/>
    <x v="205"/>
    <x v="3"/>
    <x v="3"/>
    <x v="5"/>
    <x v="5"/>
    <n v="190"/>
    <x v="4"/>
  </r>
  <r>
    <n v="207"/>
    <x v="206"/>
    <x v="4"/>
    <x v="3"/>
    <x v="0"/>
    <x v="0"/>
    <n v="210"/>
    <x v="0"/>
  </r>
  <r>
    <n v="208"/>
    <x v="207"/>
    <x v="5"/>
    <x v="3"/>
    <x v="1"/>
    <x v="1"/>
    <n v="2100"/>
    <x v="1"/>
  </r>
  <r>
    <n v="209"/>
    <x v="208"/>
    <x v="5"/>
    <x v="0"/>
    <x v="2"/>
    <x v="2"/>
    <n v="1200"/>
    <x v="2"/>
  </r>
  <r>
    <n v="210"/>
    <x v="209"/>
    <x v="5"/>
    <x v="1"/>
    <x v="3"/>
    <x v="3"/>
    <n v="1500"/>
    <x v="2"/>
  </r>
  <r>
    <n v="211"/>
    <x v="210"/>
    <x v="5"/>
    <x v="2"/>
    <x v="4"/>
    <x v="4"/>
    <n v="300"/>
    <x v="3"/>
  </r>
  <r>
    <n v="212"/>
    <x v="211"/>
    <x v="5"/>
    <x v="3"/>
    <x v="5"/>
    <x v="5"/>
    <n v="190"/>
    <x v="4"/>
  </r>
  <r>
    <n v="213"/>
    <x v="212"/>
    <x v="5"/>
    <x v="0"/>
    <x v="0"/>
    <x v="5"/>
    <n v="210"/>
    <x v="5"/>
  </r>
  <r>
    <n v="214"/>
    <x v="213"/>
    <x v="5"/>
    <x v="1"/>
    <x v="1"/>
    <x v="0"/>
    <n v="2100"/>
    <x v="6"/>
  </r>
  <r>
    <n v="215"/>
    <x v="214"/>
    <x v="5"/>
    <x v="2"/>
    <x v="2"/>
    <x v="1"/>
    <n v="1200"/>
    <x v="7"/>
  </r>
  <r>
    <n v="216"/>
    <x v="215"/>
    <x v="5"/>
    <x v="3"/>
    <x v="3"/>
    <x v="2"/>
    <n v="1500"/>
    <x v="8"/>
  </r>
  <r>
    <n v="217"/>
    <x v="216"/>
    <x v="0"/>
    <x v="0"/>
    <x v="4"/>
    <x v="3"/>
    <n v="300"/>
    <x v="9"/>
  </r>
  <r>
    <n v="218"/>
    <x v="217"/>
    <x v="1"/>
    <x v="1"/>
    <x v="5"/>
    <x v="4"/>
    <n v="190"/>
    <x v="10"/>
  </r>
  <r>
    <n v="219"/>
    <x v="218"/>
    <x v="2"/>
    <x v="0"/>
    <x v="0"/>
    <x v="5"/>
    <n v="210"/>
    <x v="5"/>
  </r>
  <r>
    <n v="220"/>
    <x v="219"/>
    <x v="3"/>
    <x v="1"/>
    <x v="2"/>
    <x v="0"/>
    <n v="2100"/>
    <x v="6"/>
  </r>
  <r>
    <n v="221"/>
    <x v="220"/>
    <x v="4"/>
    <x v="0"/>
    <x v="3"/>
    <x v="1"/>
    <n v="1200"/>
    <x v="7"/>
  </r>
  <r>
    <n v="222"/>
    <x v="221"/>
    <x v="5"/>
    <x v="0"/>
    <x v="4"/>
    <x v="2"/>
    <n v="300"/>
    <x v="11"/>
  </r>
  <r>
    <n v="223"/>
    <x v="222"/>
    <x v="0"/>
    <x v="0"/>
    <x v="5"/>
    <x v="3"/>
    <n v="200"/>
    <x v="12"/>
  </r>
  <r>
    <n v="224"/>
    <x v="223"/>
    <x v="1"/>
    <x v="1"/>
    <x v="0"/>
    <x v="4"/>
    <n v="190"/>
    <x v="10"/>
  </r>
  <r>
    <n v="225"/>
    <x v="224"/>
    <x v="2"/>
    <x v="1"/>
    <x v="1"/>
    <x v="5"/>
    <n v="2100"/>
    <x v="13"/>
  </r>
  <r>
    <n v="226"/>
    <x v="225"/>
    <x v="3"/>
    <x v="0"/>
    <x v="0"/>
    <x v="0"/>
    <n v="210"/>
    <x v="0"/>
  </r>
  <r>
    <n v="227"/>
    <x v="226"/>
    <x v="4"/>
    <x v="0"/>
    <x v="1"/>
    <x v="1"/>
    <n v="2100"/>
    <x v="1"/>
  </r>
  <r>
    <n v="228"/>
    <x v="227"/>
    <x v="5"/>
    <x v="1"/>
    <x v="2"/>
    <x v="2"/>
    <n v="1200"/>
    <x v="2"/>
  </r>
  <r>
    <n v="229"/>
    <x v="228"/>
    <x v="5"/>
    <x v="0"/>
    <x v="3"/>
    <x v="3"/>
    <n v="1500"/>
    <x v="2"/>
  </r>
  <r>
    <n v="230"/>
    <x v="229"/>
    <x v="0"/>
    <x v="0"/>
    <x v="4"/>
    <x v="4"/>
    <n v="300"/>
    <x v="3"/>
  </r>
  <r>
    <n v="231"/>
    <x v="230"/>
    <x v="1"/>
    <x v="0"/>
    <x v="5"/>
    <x v="5"/>
    <n v="190"/>
    <x v="4"/>
  </r>
  <r>
    <n v="232"/>
    <x v="231"/>
    <x v="2"/>
    <x v="0"/>
    <x v="0"/>
    <x v="0"/>
    <n v="210"/>
    <x v="0"/>
  </r>
  <r>
    <n v="233"/>
    <x v="232"/>
    <x v="3"/>
    <x v="0"/>
    <x v="1"/>
    <x v="1"/>
    <n v="2100"/>
    <x v="1"/>
  </r>
  <r>
    <n v="234"/>
    <x v="233"/>
    <x v="4"/>
    <x v="0"/>
    <x v="1"/>
    <x v="0"/>
    <n v="2100"/>
    <x v="6"/>
  </r>
  <r>
    <n v="235"/>
    <x v="234"/>
    <x v="5"/>
    <x v="0"/>
    <x v="3"/>
    <x v="3"/>
    <n v="1500"/>
    <x v="2"/>
  </r>
  <r>
    <n v="236"/>
    <x v="235"/>
    <x v="0"/>
    <x v="0"/>
    <x v="4"/>
    <x v="4"/>
    <n v="300"/>
    <x v="3"/>
  </r>
  <r>
    <n v="237"/>
    <x v="236"/>
    <x v="1"/>
    <x v="1"/>
    <x v="5"/>
    <x v="5"/>
    <n v="190"/>
    <x v="4"/>
  </r>
  <r>
    <n v="238"/>
    <x v="237"/>
    <x v="2"/>
    <x v="0"/>
    <x v="0"/>
    <x v="5"/>
    <n v="210"/>
    <x v="5"/>
  </r>
  <r>
    <n v="239"/>
    <x v="238"/>
    <x v="3"/>
    <x v="1"/>
    <x v="1"/>
    <x v="0"/>
    <n v="2100"/>
    <x v="6"/>
  </r>
  <r>
    <n v="240"/>
    <x v="239"/>
    <x v="4"/>
    <x v="0"/>
    <x v="2"/>
    <x v="1"/>
    <n v="1200"/>
    <x v="7"/>
  </r>
  <r>
    <n v="241"/>
    <x v="240"/>
    <x v="5"/>
    <x v="0"/>
    <x v="3"/>
    <x v="2"/>
    <n v="1500"/>
    <x v="8"/>
  </r>
  <r>
    <n v="242"/>
    <x v="241"/>
    <x v="5"/>
    <x v="0"/>
    <x v="4"/>
    <x v="3"/>
    <n v="300"/>
    <x v="9"/>
  </r>
  <r>
    <n v="243"/>
    <x v="242"/>
    <x v="0"/>
    <x v="0"/>
    <x v="4"/>
    <x v="4"/>
    <n v="300"/>
    <x v="3"/>
  </r>
  <r>
    <n v="244"/>
    <x v="243"/>
    <x v="0"/>
    <x v="1"/>
    <x v="5"/>
    <x v="5"/>
    <n v="190"/>
    <x v="4"/>
  </r>
  <r>
    <n v="245"/>
    <x v="244"/>
    <x v="0"/>
    <x v="2"/>
    <x v="0"/>
    <x v="5"/>
    <n v="210"/>
    <x v="5"/>
  </r>
  <r>
    <n v="246"/>
    <x v="245"/>
    <x v="0"/>
    <x v="3"/>
    <x v="1"/>
    <x v="0"/>
    <n v="2100"/>
    <x v="6"/>
  </r>
  <r>
    <n v="247"/>
    <x v="246"/>
    <x v="0"/>
    <x v="0"/>
    <x v="2"/>
    <x v="1"/>
    <n v="1200"/>
    <x v="7"/>
  </r>
  <r>
    <n v="248"/>
    <x v="247"/>
    <x v="0"/>
    <x v="1"/>
    <x v="3"/>
    <x v="2"/>
    <n v="1500"/>
    <x v="8"/>
  </r>
  <r>
    <n v="249"/>
    <x v="248"/>
    <x v="0"/>
    <x v="2"/>
    <x v="4"/>
    <x v="3"/>
    <n v="300"/>
    <x v="9"/>
  </r>
  <r>
    <n v="250"/>
    <x v="249"/>
    <x v="0"/>
    <x v="3"/>
    <x v="4"/>
    <x v="4"/>
    <n v="300"/>
    <x v="3"/>
  </r>
  <r>
    <n v="251"/>
    <x v="250"/>
    <x v="1"/>
    <x v="1"/>
    <x v="5"/>
    <x v="5"/>
    <n v="190"/>
    <x v="4"/>
  </r>
  <r>
    <n v="252"/>
    <x v="251"/>
    <x v="1"/>
    <x v="0"/>
    <x v="0"/>
    <x v="5"/>
    <n v="210"/>
    <x v="5"/>
  </r>
  <r>
    <n v="253"/>
    <x v="252"/>
    <x v="1"/>
    <x v="2"/>
    <x v="1"/>
    <x v="0"/>
    <n v="2100"/>
    <x v="6"/>
  </r>
  <r>
    <n v="254"/>
    <x v="253"/>
    <x v="1"/>
    <x v="3"/>
    <x v="2"/>
    <x v="1"/>
    <n v="1200"/>
    <x v="7"/>
  </r>
  <r>
    <n v="255"/>
    <x v="254"/>
    <x v="1"/>
    <x v="1"/>
    <x v="3"/>
    <x v="2"/>
    <n v="1500"/>
    <x v="8"/>
  </r>
  <r>
    <n v="256"/>
    <x v="255"/>
    <x v="1"/>
    <x v="0"/>
    <x v="4"/>
    <x v="3"/>
    <n v="300"/>
    <x v="9"/>
  </r>
  <r>
    <n v="257"/>
    <x v="256"/>
    <x v="1"/>
    <x v="2"/>
    <x v="0"/>
    <x v="0"/>
    <n v="210"/>
    <x v="0"/>
  </r>
  <r>
    <n v="258"/>
    <x v="257"/>
    <x v="1"/>
    <x v="3"/>
    <x v="1"/>
    <x v="1"/>
    <n v="2100"/>
    <x v="1"/>
  </r>
  <r>
    <n v="259"/>
    <x v="258"/>
    <x v="2"/>
    <x v="3"/>
    <x v="2"/>
    <x v="2"/>
    <n v="1200"/>
    <x v="2"/>
  </r>
  <r>
    <n v="260"/>
    <x v="259"/>
    <x v="3"/>
    <x v="3"/>
    <x v="3"/>
    <x v="3"/>
    <n v="1500"/>
    <x v="2"/>
  </r>
  <r>
    <n v="261"/>
    <x v="260"/>
    <x v="4"/>
    <x v="3"/>
    <x v="4"/>
    <x v="4"/>
    <n v="300"/>
    <x v="3"/>
  </r>
  <r>
    <n v="262"/>
    <x v="261"/>
    <x v="5"/>
    <x v="3"/>
    <x v="5"/>
    <x v="5"/>
    <n v="190"/>
    <x v="4"/>
  </r>
  <r>
    <n v="263"/>
    <x v="262"/>
    <x v="5"/>
    <x v="0"/>
    <x v="0"/>
    <x v="5"/>
    <n v="210"/>
    <x v="5"/>
  </r>
  <r>
    <n v="264"/>
    <x v="263"/>
    <x v="5"/>
    <x v="1"/>
    <x v="1"/>
    <x v="0"/>
    <n v="2100"/>
    <x v="6"/>
  </r>
  <r>
    <n v="265"/>
    <x v="264"/>
    <x v="5"/>
    <x v="2"/>
    <x v="2"/>
    <x v="1"/>
    <n v="1200"/>
    <x v="7"/>
  </r>
  <r>
    <n v="266"/>
    <x v="265"/>
    <x v="5"/>
    <x v="3"/>
    <x v="3"/>
    <x v="2"/>
    <n v="1500"/>
    <x v="8"/>
  </r>
  <r>
    <n v="267"/>
    <x v="266"/>
    <x v="5"/>
    <x v="0"/>
    <x v="1"/>
    <x v="0"/>
    <n v="2100"/>
    <x v="6"/>
  </r>
  <r>
    <n v="268"/>
    <x v="267"/>
    <x v="5"/>
    <x v="1"/>
    <x v="1"/>
    <x v="0"/>
    <n v="2100"/>
    <x v="6"/>
  </r>
  <r>
    <n v="269"/>
    <x v="268"/>
    <x v="5"/>
    <x v="2"/>
    <x v="1"/>
    <x v="0"/>
    <n v="2100"/>
    <x v="6"/>
  </r>
  <r>
    <n v="270"/>
    <x v="269"/>
    <x v="5"/>
    <x v="3"/>
    <x v="1"/>
    <x v="0"/>
    <n v="2100"/>
    <x v="6"/>
  </r>
  <r>
    <n v="271"/>
    <x v="270"/>
    <x v="0"/>
    <x v="0"/>
    <x v="1"/>
    <x v="0"/>
    <n v="2100"/>
    <x v="6"/>
  </r>
  <r>
    <n v="272"/>
    <x v="271"/>
    <x v="1"/>
    <x v="1"/>
    <x v="1"/>
    <x v="0"/>
    <n v="2100"/>
    <x v="6"/>
  </r>
  <r>
    <n v="273"/>
    <x v="272"/>
    <x v="2"/>
    <x v="0"/>
    <x v="1"/>
    <x v="0"/>
    <n v="2100"/>
    <x v="6"/>
  </r>
  <r>
    <n v="274"/>
    <x v="273"/>
    <x v="3"/>
    <x v="1"/>
    <x v="1"/>
    <x v="0"/>
    <n v="2100"/>
    <x v="6"/>
  </r>
  <r>
    <n v="275"/>
    <x v="274"/>
    <x v="4"/>
    <x v="0"/>
    <x v="1"/>
    <x v="0"/>
    <n v="2100"/>
    <x v="6"/>
  </r>
  <r>
    <n v="276"/>
    <x v="275"/>
    <x v="5"/>
    <x v="0"/>
    <x v="1"/>
    <x v="0"/>
    <n v="2100"/>
    <x v="6"/>
  </r>
  <r>
    <n v="277"/>
    <x v="276"/>
    <x v="0"/>
    <x v="0"/>
    <x v="1"/>
    <x v="0"/>
    <n v="2100"/>
    <x v="6"/>
  </r>
  <r>
    <n v="278"/>
    <x v="277"/>
    <x v="1"/>
    <x v="1"/>
    <x v="2"/>
    <x v="2"/>
    <n v="1200"/>
    <x v="2"/>
  </r>
  <r>
    <n v="279"/>
    <x v="278"/>
    <x v="2"/>
    <x v="1"/>
    <x v="3"/>
    <x v="3"/>
    <n v="1500"/>
    <x v="2"/>
  </r>
  <r>
    <n v="280"/>
    <x v="279"/>
    <x v="3"/>
    <x v="0"/>
    <x v="4"/>
    <x v="4"/>
    <n v="300"/>
    <x v="3"/>
  </r>
  <r>
    <n v="281"/>
    <x v="280"/>
    <x v="4"/>
    <x v="0"/>
    <x v="5"/>
    <x v="5"/>
    <n v="190"/>
    <x v="4"/>
  </r>
  <r>
    <n v="282"/>
    <x v="281"/>
    <x v="5"/>
    <x v="1"/>
    <x v="0"/>
    <x v="0"/>
    <n v="210"/>
    <x v="0"/>
  </r>
  <r>
    <n v="283"/>
    <x v="282"/>
    <x v="5"/>
    <x v="0"/>
    <x v="1"/>
    <x v="1"/>
    <n v="2100"/>
    <x v="1"/>
  </r>
  <r>
    <n v="284"/>
    <x v="283"/>
    <x v="0"/>
    <x v="0"/>
    <x v="2"/>
    <x v="2"/>
    <n v="1200"/>
    <x v="2"/>
  </r>
  <r>
    <n v="285"/>
    <x v="284"/>
    <x v="1"/>
    <x v="0"/>
    <x v="3"/>
    <x v="3"/>
    <n v="1500"/>
    <x v="2"/>
  </r>
  <r>
    <n v="286"/>
    <x v="285"/>
    <x v="2"/>
    <x v="0"/>
    <x v="4"/>
    <x v="4"/>
    <n v="300"/>
    <x v="3"/>
  </r>
  <r>
    <n v="287"/>
    <x v="286"/>
    <x v="3"/>
    <x v="0"/>
    <x v="5"/>
    <x v="5"/>
    <n v="190"/>
    <x v="4"/>
  </r>
  <r>
    <n v="288"/>
    <x v="287"/>
    <x v="4"/>
    <x v="0"/>
    <x v="0"/>
    <x v="5"/>
    <n v="210"/>
    <x v="5"/>
  </r>
  <r>
    <n v="289"/>
    <x v="288"/>
    <x v="5"/>
    <x v="0"/>
    <x v="1"/>
    <x v="0"/>
    <n v="2100"/>
    <x v="6"/>
  </r>
  <r>
    <n v="290"/>
    <x v="289"/>
    <x v="0"/>
    <x v="0"/>
    <x v="2"/>
    <x v="1"/>
    <n v="1200"/>
    <x v="7"/>
  </r>
  <r>
    <n v="291"/>
    <x v="290"/>
    <x v="1"/>
    <x v="1"/>
    <x v="3"/>
    <x v="2"/>
    <n v="1500"/>
    <x v="8"/>
  </r>
  <r>
    <n v="292"/>
    <x v="291"/>
    <x v="2"/>
    <x v="0"/>
    <x v="4"/>
    <x v="3"/>
    <n v="300"/>
    <x v="9"/>
  </r>
  <r>
    <n v="293"/>
    <x v="292"/>
    <x v="3"/>
    <x v="1"/>
    <x v="3"/>
    <x v="2"/>
    <n v="1500"/>
    <x v="8"/>
  </r>
  <r>
    <n v="294"/>
    <x v="293"/>
    <x v="4"/>
    <x v="0"/>
    <x v="4"/>
    <x v="3"/>
    <n v="300"/>
    <x v="9"/>
  </r>
  <r>
    <n v="295"/>
    <x v="294"/>
    <x v="5"/>
    <x v="0"/>
    <x v="3"/>
    <x v="2"/>
    <n v="1500"/>
    <x v="8"/>
  </r>
  <r>
    <n v="296"/>
    <x v="295"/>
    <x v="5"/>
    <x v="0"/>
    <x v="4"/>
    <x v="3"/>
    <n v="300"/>
    <x v="9"/>
  </r>
  <r>
    <n v="297"/>
    <x v="296"/>
    <x v="0"/>
    <x v="0"/>
    <x v="3"/>
    <x v="2"/>
    <n v="1500"/>
    <x v="8"/>
  </r>
  <r>
    <n v="298"/>
    <x v="297"/>
    <x v="0"/>
    <x v="1"/>
    <x v="4"/>
    <x v="3"/>
    <n v="300"/>
    <x v="9"/>
  </r>
  <r>
    <n v="299"/>
    <x v="298"/>
    <x v="0"/>
    <x v="2"/>
    <x v="3"/>
    <x v="2"/>
    <n v="1500"/>
    <x v="8"/>
  </r>
  <r>
    <n v="300"/>
    <x v="299"/>
    <x v="0"/>
    <x v="3"/>
    <x v="4"/>
    <x v="3"/>
    <n v="300"/>
    <x v="9"/>
  </r>
  <r>
    <n v="301"/>
    <x v="300"/>
    <x v="0"/>
    <x v="0"/>
    <x v="3"/>
    <x v="2"/>
    <n v="1500"/>
    <x v="8"/>
  </r>
  <r>
    <n v="302"/>
    <x v="301"/>
    <x v="0"/>
    <x v="1"/>
    <x v="1"/>
    <x v="1"/>
    <n v="2100"/>
    <x v="1"/>
  </r>
  <r>
    <n v="303"/>
    <x v="302"/>
    <x v="0"/>
    <x v="2"/>
    <x v="2"/>
    <x v="2"/>
    <n v="1200"/>
    <x v="2"/>
  </r>
  <r>
    <n v="304"/>
    <x v="303"/>
    <x v="0"/>
    <x v="3"/>
    <x v="3"/>
    <x v="3"/>
    <n v="1500"/>
    <x v="2"/>
  </r>
  <r>
    <n v="305"/>
    <x v="304"/>
    <x v="1"/>
    <x v="1"/>
    <x v="4"/>
    <x v="4"/>
    <n v="300"/>
    <x v="3"/>
  </r>
  <r>
    <n v="306"/>
    <x v="305"/>
    <x v="1"/>
    <x v="0"/>
    <x v="5"/>
    <x v="5"/>
    <n v="190"/>
    <x v="4"/>
  </r>
  <r>
    <n v="307"/>
    <x v="306"/>
    <x v="1"/>
    <x v="2"/>
    <x v="5"/>
    <x v="5"/>
    <n v="190"/>
    <x v="4"/>
  </r>
  <r>
    <n v="308"/>
    <x v="307"/>
    <x v="1"/>
    <x v="3"/>
    <x v="5"/>
    <x v="5"/>
    <n v="190"/>
    <x v="4"/>
  </r>
  <r>
    <n v="309"/>
    <x v="308"/>
    <x v="1"/>
    <x v="1"/>
    <x v="5"/>
    <x v="5"/>
    <n v="190"/>
    <x v="4"/>
  </r>
  <r>
    <n v="310"/>
    <x v="309"/>
    <x v="1"/>
    <x v="0"/>
    <x v="5"/>
    <x v="5"/>
    <n v="190"/>
    <x v="4"/>
  </r>
  <r>
    <n v="311"/>
    <x v="310"/>
    <x v="1"/>
    <x v="2"/>
    <x v="5"/>
    <x v="5"/>
    <n v="190"/>
    <x v="4"/>
  </r>
  <r>
    <n v="312"/>
    <x v="311"/>
    <x v="1"/>
    <x v="3"/>
    <x v="5"/>
    <x v="5"/>
    <n v="190"/>
    <x v="4"/>
  </r>
  <r>
    <n v="313"/>
    <x v="312"/>
    <x v="2"/>
    <x v="3"/>
    <x v="5"/>
    <x v="5"/>
    <n v="190"/>
    <x v="4"/>
  </r>
  <r>
    <n v="314"/>
    <x v="313"/>
    <x v="3"/>
    <x v="3"/>
    <x v="5"/>
    <x v="5"/>
    <n v="190"/>
    <x v="4"/>
  </r>
  <r>
    <n v="315"/>
    <x v="314"/>
    <x v="4"/>
    <x v="3"/>
    <x v="5"/>
    <x v="5"/>
    <n v="190"/>
    <x v="4"/>
  </r>
  <r>
    <n v="316"/>
    <x v="315"/>
    <x v="5"/>
    <x v="3"/>
    <x v="5"/>
    <x v="5"/>
    <n v="190"/>
    <x v="4"/>
  </r>
  <r>
    <n v="317"/>
    <x v="316"/>
    <x v="5"/>
    <x v="0"/>
    <x v="5"/>
    <x v="5"/>
    <n v="190"/>
    <x v="4"/>
  </r>
  <r>
    <n v="318"/>
    <x v="317"/>
    <x v="5"/>
    <x v="1"/>
    <x v="5"/>
    <x v="4"/>
    <n v="190"/>
    <x v="10"/>
  </r>
  <r>
    <n v="319"/>
    <x v="318"/>
    <x v="5"/>
    <x v="2"/>
    <x v="0"/>
    <x v="5"/>
    <n v="210"/>
    <x v="5"/>
  </r>
  <r>
    <n v="320"/>
    <x v="319"/>
    <x v="5"/>
    <x v="3"/>
    <x v="0"/>
    <x v="5"/>
    <n v="210"/>
    <x v="5"/>
  </r>
  <r>
    <n v="321"/>
    <x v="320"/>
    <x v="5"/>
    <x v="0"/>
    <x v="0"/>
    <x v="5"/>
    <n v="210"/>
    <x v="5"/>
  </r>
  <r>
    <n v="322"/>
    <x v="321"/>
    <x v="5"/>
    <x v="1"/>
    <x v="0"/>
    <x v="5"/>
    <n v="210"/>
    <x v="5"/>
  </r>
  <r>
    <n v="323"/>
    <x v="322"/>
    <x v="5"/>
    <x v="2"/>
    <x v="0"/>
    <x v="5"/>
    <n v="210"/>
    <x v="5"/>
  </r>
  <r>
    <n v="324"/>
    <x v="323"/>
    <x v="5"/>
    <x v="3"/>
    <x v="0"/>
    <x v="5"/>
    <n v="210"/>
    <x v="5"/>
  </r>
  <r>
    <n v="325"/>
    <x v="324"/>
    <x v="0"/>
    <x v="0"/>
    <x v="0"/>
    <x v="5"/>
    <n v="210"/>
    <x v="5"/>
  </r>
  <r>
    <n v="326"/>
    <x v="325"/>
    <x v="1"/>
    <x v="1"/>
    <x v="0"/>
    <x v="5"/>
    <n v="210"/>
    <x v="5"/>
  </r>
  <r>
    <n v="327"/>
    <x v="326"/>
    <x v="2"/>
    <x v="0"/>
    <x v="0"/>
    <x v="5"/>
    <n v="210"/>
    <x v="5"/>
  </r>
  <r>
    <n v="328"/>
    <x v="327"/>
    <x v="3"/>
    <x v="1"/>
    <x v="0"/>
    <x v="5"/>
    <n v="210"/>
    <x v="5"/>
  </r>
  <r>
    <n v="329"/>
    <x v="328"/>
    <x v="4"/>
    <x v="0"/>
    <x v="0"/>
    <x v="5"/>
    <n v="210"/>
    <x v="5"/>
  </r>
  <r>
    <n v="330"/>
    <x v="329"/>
    <x v="5"/>
    <x v="0"/>
    <x v="0"/>
    <x v="5"/>
    <n v="210"/>
    <x v="5"/>
  </r>
  <r>
    <n v="331"/>
    <x v="330"/>
    <x v="0"/>
    <x v="0"/>
    <x v="5"/>
    <x v="5"/>
    <n v="190"/>
    <x v="4"/>
  </r>
  <r>
    <n v="332"/>
    <x v="331"/>
    <x v="1"/>
    <x v="1"/>
    <x v="0"/>
    <x v="0"/>
    <n v="210"/>
    <x v="0"/>
  </r>
  <r>
    <n v="333"/>
    <x v="332"/>
    <x v="2"/>
    <x v="1"/>
    <x v="1"/>
    <x v="1"/>
    <n v="2100"/>
    <x v="1"/>
  </r>
  <r>
    <n v="334"/>
    <x v="333"/>
    <x v="3"/>
    <x v="0"/>
    <x v="2"/>
    <x v="2"/>
    <n v="1200"/>
    <x v="2"/>
  </r>
  <r>
    <n v="335"/>
    <x v="334"/>
    <x v="4"/>
    <x v="0"/>
    <x v="3"/>
    <x v="3"/>
    <n v="1500"/>
    <x v="2"/>
  </r>
  <r>
    <n v="336"/>
    <x v="335"/>
    <x v="5"/>
    <x v="1"/>
    <x v="3"/>
    <x v="3"/>
    <n v="1500"/>
    <x v="2"/>
  </r>
  <r>
    <n v="337"/>
    <x v="336"/>
    <x v="5"/>
    <x v="0"/>
    <x v="3"/>
    <x v="3"/>
    <n v="1500"/>
    <x v="2"/>
  </r>
  <r>
    <n v="338"/>
    <x v="337"/>
    <x v="0"/>
    <x v="0"/>
    <x v="3"/>
    <x v="3"/>
    <n v="1500"/>
    <x v="2"/>
  </r>
  <r>
    <n v="339"/>
    <x v="338"/>
    <x v="1"/>
    <x v="0"/>
    <x v="3"/>
    <x v="3"/>
    <n v="1500"/>
    <x v="2"/>
  </r>
  <r>
    <n v="340"/>
    <x v="339"/>
    <x v="2"/>
    <x v="0"/>
    <x v="3"/>
    <x v="3"/>
    <n v="1500"/>
    <x v="2"/>
  </r>
  <r>
    <n v="341"/>
    <x v="340"/>
    <x v="3"/>
    <x v="0"/>
    <x v="3"/>
    <x v="3"/>
    <n v="1500"/>
    <x v="2"/>
  </r>
  <r>
    <n v="342"/>
    <x v="341"/>
    <x v="4"/>
    <x v="0"/>
    <x v="3"/>
    <x v="3"/>
    <n v="1500"/>
    <x v="2"/>
  </r>
  <r>
    <n v="343"/>
    <x v="342"/>
    <x v="5"/>
    <x v="0"/>
    <x v="3"/>
    <x v="3"/>
    <n v="1500"/>
    <x v="2"/>
  </r>
  <r>
    <n v="344"/>
    <x v="343"/>
    <x v="0"/>
    <x v="0"/>
    <x v="0"/>
    <x v="5"/>
    <n v="210"/>
    <x v="5"/>
  </r>
  <r>
    <n v="345"/>
    <x v="344"/>
    <x v="1"/>
    <x v="1"/>
    <x v="2"/>
    <x v="0"/>
    <n v="2100"/>
    <x v="6"/>
  </r>
  <r>
    <n v="346"/>
    <x v="345"/>
    <x v="2"/>
    <x v="0"/>
    <x v="3"/>
    <x v="1"/>
    <n v="1200"/>
    <x v="7"/>
  </r>
  <r>
    <n v="347"/>
    <x v="346"/>
    <x v="3"/>
    <x v="1"/>
    <x v="4"/>
    <x v="2"/>
    <n v="300"/>
    <x v="11"/>
  </r>
  <r>
    <n v="348"/>
    <x v="347"/>
    <x v="4"/>
    <x v="0"/>
    <x v="5"/>
    <x v="3"/>
    <n v="200"/>
    <x v="12"/>
  </r>
  <r>
    <n v="349"/>
    <x v="348"/>
    <x v="5"/>
    <x v="0"/>
    <x v="0"/>
    <x v="4"/>
    <n v="190"/>
    <x v="10"/>
  </r>
  <r>
    <n v="350"/>
    <x v="349"/>
    <x v="5"/>
    <x v="0"/>
    <x v="1"/>
    <x v="5"/>
    <n v="2100"/>
    <x v="13"/>
  </r>
  <r>
    <n v="351"/>
    <x v="350"/>
    <x v="0"/>
    <x v="0"/>
    <x v="0"/>
    <x v="0"/>
    <n v="210"/>
    <x v="0"/>
  </r>
  <r>
    <n v="352"/>
    <x v="351"/>
    <x v="0"/>
    <x v="1"/>
    <x v="1"/>
    <x v="1"/>
    <n v="2100"/>
    <x v="1"/>
  </r>
  <r>
    <n v="353"/>
    <x v="352"/>
    <x v="0"/>
    <x v="2"/>
    <x v="2"/>
    <x v="2"/>
    <n v="1200"/>
    <x v="2"/>
  </r>
  <r>
    <n v="354"/>
    <x v="353"/>
    <x v="0"/>
    <x v="3"/>
    <x v="3"/>
    <x v="3"/>
    <n v="1500"/>
    <x v="2"/>
  </r>
  <r>
    <n v="355"/>
    <x v="354"/>
    <x v="0"/>
    <x v="0"/>
    <x v="4"/>
    <x v="4"/>
    <n v="300"/>
    <x v="3"/>
  </r>
  <r>
    <n v="356"/>
    <x v="355"/>
    <x v="0"/>
    <x v="1"/>
    <x v="5"/>
    <x v="5"/>
    <n v="190"/>
    <x v="4"/>
  </r>
  <r>
    <n v="357"/>
    <x v="356"/>
    <x v="0"/>
    <x v="2"/>
    <x v="0"/>
    <x v="0"/>
    <n v="210"/>
    <x v="0"/>
  </r>
  <r>
    <n v="358"/>
    <x v="357"/>
    <x v="0"/>
    <x v="3"/>
    <x v="1"/>
    <x v="1"/>
    <n v="2100"/>
    <x v="1"/>
  </r>
  <r>
    <n v="359"/>
    <x v="358"/>
    <x v="1"/>
    <x v="1"/>
    <x v="1"/>
    <x v="1"/>
    <n v="2100"/>
    <x v="1"/>
  </r>
  <r>
    <n v="360"/>
    <x v="359"/>
    <x v="1"/>
    <x v="0"/>
    <x v="1"/>
    <x v="1"/>
    <n v="2100"/>
    <x v="1"/>
  </r>
  <r>
    <n v="361"/>
    <x v="360"/>
    <x v="1"/>
    <x v="2"/>
    <x v="1"/>
    <x v="1"/>
    <n v="2100"/>
    <x v="1"/>
  </r>
  <r>
    <n v="362"/>
    <x v="361"/>
    <x v="1"/>
    <x v="3"/>
    <x v="1"/>
    <x v="1"/>
    <n v="2100"/>
    <x v="1"/>
  </r>
  <r>
    <n v="363"/>
    <x v="362"/>
    <x v="1"/>
    <x v="1"/>
    <x v="1"/>
    <x v="1"/>
    <n v="2100"/>
    <x v="1"/>
  </r>
  <r>
    <n v="364"/>
    <x v="363"/>
    <x v="1"/>
    <x v="0"/>
    <x v="1"/>
    <x v="1"/>
    <n v="2100"/>
    <x v="1"/>
  </r>
  <r>
    <n v="365"/>
    <x v="364"/>
    <x v="1"/>
    <x v="2"/>
    <x v="2"/>
    <x v="1"/>
    <n v="1200"/>
    <x v="7"/>
  </r>
  <r>
    <n v="366"/>
    <x v="365"/>
    <x v="1"/>
    <x v="3"/>
    <x v="3"/>
    <x v="2"/>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0AD3D-4E0B-46AE-AB4E-173B091132C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1">
  <location ref="A102:B10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numFmtId="164"/>
  </dataFields>
  <chartFormats count="13">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3">
      <pivotArea type="data" outline="0" fieldPosition="0">
        <references count="2">
          <reference field="4294967294" count="1" selected="0">
            <x v="0"/>
          </reference>
          <reference field="2" count="1" selected="0">
            <x v="4"/>
          </reference>
        </references>
      </pivotArea>
    </chartFormat>
    <chartFormat chart="61" format="4">
      <pivotArea type="data" outline="0" fieldPosition="0">
        <references count="2">
          <reference field="4294967294" count="1" selected="0">
            <x v="0"/>
          </reference>
          <reference field="2" count="1" selected="0">
            <x v="5"/>
          </reference>
        </references>
      </pivotArea>
    </chartFormat>
    <chartFormat chart="61" format="5">
      <pivotArea type="data" outline="0" fieldPosition="0">
        <references count="2">
          <reference field="4294967294" count="1" selected="0">
            <x v="0"/>
          </reference>
          <reference field="2" count="1" selected="0">
            <x v="3"/>
          </reference>
        </references>
      </pivotArea>
    </chartFormat>
    <chartFormat chart="61" format="6">
      <pivotArea type="data" outline="0" fieldPosition="0">
        <references count="2">
          <reference field="4294967294" count="1" selected="0">
            <x v="0"/>
          </reference>
          <reference field="2" count="1" selected="0">
            <x v="2"/>
          </reference>
        </references>
      </pivotArea>
    </chartFormat>
    <chartFormat chart="64"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9CF1F-EBFE-4DD3-B13D-B0C3EC35AE2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33:B3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3"/>
    </i>
    <i>
      <x v="4"/>
    </i>
    <i t="grand">
      <x/>
    </i>
  </rowItems>
  <colItems count="1">
    <i/>
  </colItems>
  <dataFields count="1">
    <dataField name="Sum of Amount" fld="7" baseField="0" baseItem="0" numFmtId="164"/>
  </dataField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3361E-C53B-4888-AE67-67025CE87AE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A79:B8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164"/>
  </dataFields>
  <chartFormats count="5">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42698-8610-4C10-A91F-E22ABC9D37B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location ref="A54:B6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164"/>
  </dataFields>
  <chartFormats count="3">
    <chartFormat chart="34" format="6" series="1">
      <pivotArea type="data" outline="0" fieldPosition="0">
        <references count="1">
          <reference field="4294967294" count="1" selected="0">
            <x v="0"/>
          </reference>
        </references>
      </pivotArea>
    </chartFormat>
    <chartFormat chart="45" format="8" series="1">
      <pivotArea type="data" outline="0" fieldPosition="0">
        <references count="1">
          <reference field="4294967294" count="1" selected="0">
            <x v="0"/>
          </reference>
        </references>
      </pivotArea>
    </chartFormat>
    <chartFormat chart="4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45AD9-B373-4420-A27F-95B7CA3E93F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8">
  <location ref="A66:B7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2"/>
    </i>
    <i>
      <x v="5"/>
    </i>
    <i t="grand">
      <x/>
    </i>
  </rowItems>
  <colItems count="1">
    <i/>
  </colItems>
  <dataFields count="1">
    <dataField name="Sum of Amount" fld="7" baseField="0" baseItem="0" numFmtId="164"/>
  </dataFields>
  <chartFormats count="3">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B1CC1-FBCB-4F1E-8825-9F8F7120FBE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5">
  <location ref="A110:B11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2"/>
    </i>
    <i>
      <x v="3"/>
    </i>
    <i t="grand">
      <x/>
    </i>
  </rowItems>
  <colItems count="1">
    <i/>
  </colItems>
  <dataFields count="1">
    <dataField name="Sum of Amount" fld="7" baseField="0" baseItem="0" numFmtId="164"/>
  </dataFields>
  <chartFormats count="16">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3">
      <pivotArea type="data" outline="0" fieldPosition="0">
        <references count="2">
          <reference field="4294967294" count="1" selected="0">
            <x v="0"/>
          </reference>
          <reference field="2" count="1" selected="0">
            <x v="4"/>
          </reference>
        </references>
      </pivotArea>
    </chartFormat>
    <chartFormat chart="61" format="4">
      <pivotArea type="data" outline="0" fieldPosition="0">
        <references count="2">
          <reference field="4294967294" count="1" selected="0">
            <x v="0"/>
          </reference>
          <reference field="2" count="1" selected="0">
            <x v="5"/>
          </reference>
        </references>
      </pivotArea>
    </chartFormat>
    <chartFormat chart="61" format="5">
      <pivotArea type="data" outline="0" fieldPosition="0">
        <references count="2">
          <reference field="4294967294" count="1" selected="0">
            <x v="0"/>
          </reference>
          <reference field="2" count="1" selected="0">
            <x v="3"/>
          </reference>
        </references>
      </pivotArea>
    </chartFormat>
    <chartFormat chart="61" format="6">
      <pivotArea type="data" outline="0" fieldPosition="0">
        <references count="2">
          <reference field="4294967294" count="1" selected="0">
            <x v="0"/>
          </reference>
          <reference field="2" count="1" selected="0">
            <x v="2"/>
          </reference>
        </references>
      </pivotArea>
    </chartFormat>
    <chartFormat chart="64"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1" format="1"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089981-4A7F-4196-8242-DF9638C769E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20:B2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CF0002-2D6E-44D2-9A37-7D700878C42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46:A47"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4"/>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5A8143-2A75-4CFA-BCDD-754456A242E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6">
  <location ref="A91:B9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64"/>
  </dataFields>
  <chartFormats count="11">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3">
      <pivotArea type="data" outline="0" fieldPosition="0">
        <references count="2">
          <reference field="4294967294" count="1" selected="0">
            <x v="0"/>
          </reference>
          <reference field="2" count="1" selected="0">
            <x v="4"/>
          </reference>
        </references>
      </pivotArea>
    </chartFormat>
    <chartFormat chart="61" format="4">
      <pivotArea type="data" outline="0" fieldPosition="0">
        <references count="2">
          <reference field="4294967294" count="1" selected="0">
            <x v="0"/>
          </reference>
          <reference field="2" count="1" selected="0">
            <x v="5"/>
          </reference>
        </references>
      </pivotArea>
    </chartFormat>
    <chartFormat chart="61" format="5">
      <pivotArea type="data" outline="0" fieldPosition="0">
        <references count="2">
          <reference field="4294967294" count="1" selected="0">
            <x v="0"/>
          </reference>
          <reference field="2" count="1" selected="0">
            <x v="3"/>
          </reference>
        </references>
      </pivotArea>
    </chartFormat>
    <chartFormat chart="61"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F45A53-459C-493D-98F4-481396C613E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50:A5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items count="7">
        <item x="5"/>
        <item x="4"/>
        <item x="3"/>
        <item x="2"/>
        <item x="1"/>
        <item x="0"/>
        <item t="default"/>
      </items>
    </pivotField>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Price" fld="6" baseField="0" baseItem="0" numFmtId="164"/>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6F1759-9CB5-48E6-BE7B-8546A1DC09A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1:B1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5">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B23991-DEC0-4AEB-88AC-2CB9195EB8DF}" sourceName="Region">
  <pivotTables>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 tabId="4" name="PivotTable6"/>
    <pivotTable tabId="4" name="PivotTable10"/>
    <pivotTable tabId="4" name="PivotTable11"/>
  </pivotTables>
  <data>
    <tabular pivotCacheId="4676033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3AD3C89-1D1B-4D6E-AA11-B88695EB9B5F}" sourceName="Item">
  <pivotTables>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 tabId="4" name="PivotTable6"/>
    <pivotTable tabId="4" name="PivotTable10"/>
    <pivotTable tabId="4" name="PivotTable11"/>
  </pivotTables>
  <data>
    <tabular pivotCacheId="46760330">
      <items count="6">
        <i x="5" s="1"/>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4D5145-D858-4930-B394-A0D03813D933}" cache="Slicer_Region" caption="Region" columnCount="2" rowHeight="288000"/>
  <slicer name="Item" xr10:uid="{42137CC2-163E-4AF2-AC79-5B25254FED6A}" cache="Slicer_Item" caption="Item"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D99D04C0-FE07-47DD-B3EB-E6A34DFC876A}" cache="Slicer_Region" caption="Region" columnCount="2" style="SlicerStyleOther2" rowHeight="432000"/>
  <slicer name="Item 4" xr10:uid="{26AAA4B4-C70B-499F-9C9C-591E8BB13113}" cache="Slicer_Item" caption="Item" columnCount="6" style="SlicerStyleLigh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D1CE7998-9193-4AD7-93C4-8A832D53CD06}" cache="Slicer_Region" caption="Region" columnCount="2" style="SlicerStyleLight5" rowHeight="432000"/>
  <slicer name="Item 5" xr10:uid="{25AC96B7-A88C-49E7-8478-BB6880EC9D9C}" cache="Slicer_Item" caption="Item" columnCount="6" style="SlicerStyleLight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5CA795FD-8ED8-40B2-9336-008DB96EEB9E}" cache="Slicer_Region" caption="Region" columnCount="2" style="SlicerStyleLight5" rowHeight="432000"/>
  <slicer name="Item 6" xr10:uid="{F30ED456-183A-4CBA-B90E-6E284BADB9A4}" cache="Slicer_Item" caption="Item" columnCount="6"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30C8C0-BB6C-4090-85F9-A44C8C13CC9B}" name="Table2" displayName="Table2" ref="A1:H367" totalsRowShown="0" headerRowDxfId="44" headerRowBorderDxfId="43" tableBorderDxfId="42" totalsRowBorderDxfId="41">
  <autoFilter ref="A1:H367" xr:uid="{1E30C8C0-BB6C-4090-85F9-A44C8C13CC9B}"/>
  <tableColumns count="8">
    <tableColumn id="1" xr3:uid="{20CB8BF4-8C9B-450D-ADCF-7430DC946F2F}" name="S No" dataDxfId="40"/>
    <tableColumn id="2" xr3:uid="{A32C2C76-54D7-4A78-9D90-C5B5F794E6C3}" name="Date" dataDxfId="39"/>
    <tableColumn id="3" xr3:uid="{A2BF3A2F-F17C-42D6-9184-69658925D266}" name="Salesman" dataDxfId="38"/>
    <tableColumn id="4" xr3:uid="{2515FAFF-2888-4B4E-8CD2-F9B5D7502AF7}" name="Region" dataDxfId="37"/>
    <tableColumn id="5" xr3:uid="{BEA94643-064C-40DB-89EC-401C2A0B2AA3}" name="Item" dataDxfId="36"/>
    <tableColumn id="6" xr3:uid="{F5B60D7E-D5AF-4AAE-A798-8EC0ECA0222C}" name="Qty" dataDxfId="35"/>
    <tableColumn id="7" xr3:uid="{CA0C09A4-EDD4-4390-817C-3EE587C1C6DA}" name="Price" dataDxfId="34"/>
    <tableColumn id="8" xr3:uid="{32786B32-9FCD-4F97-AB95-0609779DBF48}" name="Amount" dataDxfId="33">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5F2694B-7307-43EF-B96C-62C776C00538}" sourceName="Date">
  <pivotTables>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 tabId="4" name="PivotTable6"/>
    <pivotTable tabId="4" name="PivotTable10"/>
    <pivotTable tabId="4" name="PivotTable11"/>
  </pivotTables>
  <state minimalRefreshVersion="6" lastRefreshVersion="6" pivotCacheId="46760330"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C1C26AD-9149-4625-AE8B-CC66A8CAF388}" cache="NativeTimeline_Date"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6DE3B712-140B-4F5B-B7CD-68AB494AF109}" cache="NativeTimeline_Date" caption="Date" level="2" selectionLevel="2" scrollPosition="2021-01-01T00:00:00" style="TimeSlicerStyleLight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0A6B4553-4D4D-49F6-9EE6-28D1B3B58968}" cache="NativeTimeline_Date" caption="Date" level="2" selectionLevel="2" scrollPosition="2021-01-01T00:00:00" style="TimeSlicerStyleLight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EAFFC210-707C-4AC3-8362-1B015A74E320}" cache="NativeTimeline_Date" caption="Date" level="2" selectionLevel="2" scrollPosition="2021-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BF4E-1FAF-457F-BA47-278B676891A3}">
  <dimension ref="A1:H367"/>
  <sheetViews>
    <sheetView workbookViewId="0">
      <selection activeCell="J4" sqref="J4"/>
    </sheetView>
  </sheetViews>
  <sheetFormatPr defaultRowHeight="14.4" x14ac:dyDescent="0.3"/>
  <cols>
    <col min="2" max="2" width="27.6640625" customWidth="1"/>
    <col min="3" max="3" width="16" customWidth="1"/>
    <col min="4" max="4" width="11.5546875" customWidth="1"/>
    <col min="8" max="8" width="11.44140625" customWidth="1"/>
  </cols>
  <sheetData>
    <row r="1" spans="1:8" ht="18" x14ac:dyDescent="0.35">
      <c r="A1" s="14" t="s">
        <v>0</v>
      </c>
      <c r="B1" s="15" t="s">
        <v>1</v>
      </c>
      <c r="C1" s="16" t="s">
        <v>2</v>
      </c>
      <c r="D1" s="16" t="s">
        <v>3</v>
      </c>
      <c r="E1" s="16" t="s">
        <v>4</v>
      </c>
      <c r="F1" s="17" t="s">
        <v>5</v>
      </c>
      <c r="G1" s="17" t="s">
        <v>6</v>
      </c>
      <c r="H1" s="18" t="s">
        <v>7</v>
      </c>
    </row>
    <row r="2" spans="1:8" x14ac:dyDescent="0.3">
      <c r="A2" s="13">
        <v>1</v>
      </c>
      <c r="B2" s="1">
        <v>44197</v>
      </c>
      <c r="C2" s="2" t="s">
        <v>8</v>
      </c>
      <c r="D2" s="2" t="s">
        <v>9</v>
      </c>
      <c r="E2" s="2" t="s">
        <v>10</v>
      </c>
      <c r="F2" s="3">
        <v>7</v>
      </c>
      <c r="G2" s="3">
        <v>210</v>
      </c>
      <c r="H2" s="9">
        <f>F2*G2</f>
        <v>1470</v>
      </c>
    </row>
    <row r="3" spans="1:8" x14ac:dyDescent="0.3">
      <c r="A3" s="13">
        <v>2</v>
      </c>
      <c r="B3" s="1">
        <v>44198</v>
      </c>
      <c r="C3" s="2" t="s">
        <v>11</v>
      </c>
      <c r="D3" s="2" t="s">
        <v>12</v>
      </c>
      <c r="E3" s="2" t="s">
        <v>13</v>
      </c>
      <c r="F3" s="3">
        <v>6</v>
      </c>
      <c r="G3" s="3">
        <v>2100</v>
      </c>
      <c r="H3" s="9">
        <f t="shared" ref="H3:H66" si="0">F3*G3</f>
        <v>12600</v>
      </c>
    </row>
    <row r="4" spans="1:8" x14ac:dyDescent="0.3">
      <c r="A4" s="13">
        <v>3</v>
      </c>
      <c r="B4" s="1">
        <v>44199</v>
      </c>
      <c r="C4" s="2" t="s">
        <v>14</v>
      </c>
      <c r="D4" s="2" t="s">
        <v>9</v>
      </c>
      <c r="E4" s="2" t="s">
        <v>15</v>
      </c>
      <c r="F4" s="3">
        <v>5</v>
      </c>
      <c r="G4" s="3">
        <v>1200</v>
      </c>
      <c r="H4" s="9">
        <f t="shared" si="0"/>
        <v>6000</v>
      </c>
    </row>
    <row r="5" spans="1:8" x14ac:dyDescent="0.3">
      <c r="A5" s="13">
        <v>4</v>
      </c>
      <c r="B5" s="1">
        <v>44200</v>
      </c>
      <c r="C5" s="2" t="s">
        <v>16</v>
      </c>
      <c r="D5" s="2" t="s">
        <v>12</v>
      </c>
      <c r="E5" s="2" t="s">
        <v>17</v>
      </c>
      <c r="F5" s="3">
        <v>4</v>
      </c>
      <c r="G5" s="3">
        <v>1500</v>
      </c>
      <c r="H5" s="9">
        <f t="shared" si="0"/>
        <v>6000</v>
      </c>
    </row>
    <row r="6" spans="1:8" x14ac:dyDescent="0.3">
      <c r="A6" s="13">
        <v>5</v>
      </c>
      <c r="B6" s="1">
        <v>44201</v>
      </c>
      <c r="C6" s="2" t="s">
        <v>18</v>
      </c>
      <c r="D6" s="2" t="s">
        <v>9</v>
      </c>
      <c r="E6" s="2" t="s">
        <v>19</v>
      </c>
      <c r="F6" s="3">
        <v>3</v>
      </c>
      <c r="G6" s="3">
        <v>300</v>
      </c>
      <c r="H6" s="9">
        <f t="shared" si="0"/>
        <v>900</v>
      </c>
    </row>
    <row r="7" spans="1:8" x14ac:dyDescent="0.3">
      <c r="A7" s="13">
        <v>6</v>
      </c>
      <c r="B7" s="1">
        <v>44202</v>
      </c>
      <c r="C7" s="2" t="s">
        <v>20</v>
      </c>
      <c r="D7" s="2" t="s">
        <v>9</v>
      </c>
      <c r="E7" s="2" t="s">
        <v>21</v>
      </c>
      <c r="F7" s="3">
        <v>2</v>
      </c>
      <c r="G7" s="3">
        <v>190</v>
      </c>
      <c r="H7" s="9">
        <f t="shared" si="0"/>
        <v>380</v>
      </c>
    </row>
    <row r="8" spans="1:8" x14ac:dyDescent="0.3">
      <c r="A8" s="13">
        <v>7</v>
      </c>
      <c r="B8" s="1">
        <v>44203</v>
      </c>
      <c r="C8" s="2" t="s">
        <v>8</v>
      </c>
      <c r="D8" s="2" t="s">
        <v>9</v>
      </c>
      <c r="E8" s="2" t="s">
        <v>10</v>
      </c>
      <c r="F8" s="3">
        <v>7</v>
      </c>
      <c r="G8" s="3">
        <v>210</v>
      </c>
      <c r="H8" s="9">
        <f t="shared" si="0"/>
        <v>1470</v>
      </c>
    </row>
    <row r="9" spans="1:8" x14ac:dyDescent="0.3">
      <c r="A9" s="13">
        <v>8</v>
      </c>
      <c r="B9" s="1">
        <v>44204</v>
      </c>
      <c r="C9" s="2" t="s">
        <v>11</v>
      </c>
      <c r="D9" s="2" t="s">
        <v>12</v>
      </c>
      <c r="E9" s="2" t="s">
        <v>13</v>
      </c>
      <c r="F9" s="3">
        <v>6</v>
      </c>
      <c r="G9" s="3">
        <v>2100</v>
      </c>
      <c r="H9" s="9">
        <f t="shared" si="0"/>
        <v>12600</v>
      </c>
    </row>
    <row r="10" spans="1:8" x14ac:dyDescent="0.3">
      <c r="A10" s="13">
        <v>9</v>
      </c>
      <c r="B10" s="1">
        <v>44205</v>
      </c>
      <c r="C10" s="2" t="s">
        <v>14</v>
      </c>
      <c r="D10" s="2" t="s">
        <v>12</v>
      </c>
      <c r="E10" s="2" t="s">
        <v>15</v>
      </c>
      <c r="F10" s="3">
        <v>5</v>
      </c>
      <c r="G10" s="3">
        <v>1200</v>
      </c>
      <c r="H10" s="9">
        <f t="shared" si="0"/>
        <v>6000</v>
      </c>
    </row>
    <row r="11" spans="1:8" x14ac:dyDescent="0.3">
      <c r="A11" s="13">
        <v>10</v>
      </c>
      <c r="B11" s="1">
        <v>44206</v>
      </c>
      <c r="C11" s="2" t="s">
        <v>16</v>
      </c>
      <c r="D11" s="2" t="s">
        <v>9</v>
      </c>
      <c r="E11" s="2" t="s">
        <v>17</v>
      </c>
      <c r="F11" s="3">
        <v>4</v>
      </c>
      <c r="G11" s="3">
        <v>1500</v>
      </c>
      <c r="H11" s="9">
        <f t="shared" si="0"/>
        <v>6000</v>
      </c>
    </row>
    <row r="12" spans="1:8" x14ac:dyDescent="0.3">
      <c r="A12" s="13">
        <v>11</v>
      </c>
      <c r="B12" s="1">
        <v>44207</v>
      </c>
      <c r="C12" s="2" t="s">
        <v>18</v>
      </c>
      <c r="D12" s="2" t="s">
        <v>9</v>
      </c>
      <c r="E12" s="2" t="s">
        <v>19</v>
      </c>
      <c r="F12" s="3">
        <v>3</v>
      </c>
      <c r="G12" s="3">
        <v>300</v>
      </c>
      <c r="H12" s="9">
        <f t="shared" si="0"/>
        <v>900</v>
      </c>
    </row>
    <row r="13" spans="1:8" x14ac:dyDescent="0.3">
      <c r="A13" s="13">
        <v>12</v>
      </c>
      <c r="B13" s="1">
        <v>44208</v>
      </c>
      <c r="C13" s="2" t="s">
        <v>20</v>
      </c>
      <c r="D13" s="2" t="s">
        <v>12</v>
      </c>
      <c r="E13" s="2" t="s">
        <v>21</v>
      </c>
      <c r="F13" s="3">
        <v>2</v>
      </c>
      <c r="G13" s="3">
        <v>190</v>
      </c>
      <c r="H13" s="9">
        <f t="shared" si="0"/>
        <v>380</v>
      </c>
    </row>
    <row r="14" spans="1:8" x14ac:dyDescent="0.3">
      <c r="A14" s="13">
        <v>13</v>
      </c>
      <c r="B14" s="1">
        <v>44209</v>
      </c>
      <c r="C14" s="2" t="s">
        <v>20</v>
      </c>
      <c r="D14" s="2" t="s">
        <v>9</v>
      </c>
      <c r="E14" s="2" t="s">
        <v>10</v>
      </c>
      <c r="F14" s="3">
        <v>2</v>
      </c>
      <c r="G14" s="3">
        <v>210</v>
      </c>
      <c r="H14" s="9">
        <f t="shared" si="0"/>
        <v>420</v>
      </c>
    </row>
    <row r="15" spans="1:8" x14ac:dyDescent="0.3">
      <c r="A15" s="13">
        <v>14</v>
      </c>
      <c r="B15" s="1">
        <v>44210</v>
      </c>
      <c r="C15" s="2" t="s">
        <v>8</v>
      </c>
      <c r="D15" s="2" t="s">
        <v>9</v>
      </c>
      <c r="E15" s="2" t="s">
        <v>13</v>
      </c>
      <c r="F15" s="3">
        <v>7</v>
      </c>
      <c r="G15" s="3">
        <v>2100</v>
      </c>
      <c r="H15" s="9">
        <f t="shared" si="0"/>
        <v>14700</v>
      </c>
    </row>
    <row r="16" spans="1:8" x14ac:dyDescent="0.3">
      <c r="A16" s="13">
        <v>15</v>
      </c>
      <c r="B16" s="1">
        <v>44211</v>
      </c>
      <c r="C16" s="2" t="s">
        <v>11</v>
      </c>
      <c r="D16" s="2" t="s">
        <v>9</v>
      </c>
      <c r="E16" s="2" t="s">
        <v>15</v>
      </c>
      <c r="F16" s="3">
        <v>6</v>
      </c>
      <c r="G16" s="3">
        <v>1200</v>
      </c>
      <c r="H16" s="9">
        <f t="shared" si="0"/>
        <v>7200</v>
      </c>
    </row>
    <row r="17" spans="1:8" x14ac:dyDescent="0.3">
      <c r="A17" s="13">
        <v>16</v>
      </c>
      <c r="B17" s="1">
        <v>44212</v>
      </c>
      <c r="C17" s="2" t="s">
        <v>14</v>
      </c>
      <c r="D17" s="2" t="s">
        <v>9</v>
      </c>
      <c r="E17" s="2" t="s">
        <v>17</v>
      </c>
      <c r="F17" s="3">
        <v>5</v>
      </c>
      <c r="G17" s="3">
        <v>1500</v>
      </c>
      <c r="H17" s="9">
        <f t="shared" si="0"/>
        <v>7500</v>
      </c>
    </row>
    <row r="18" spans="1:8" x14ac:dyDescent="0.3">
      <c r="A18" s="13">
        <v>17</v>
      </c>
      <c r="B18" s="1">
        <v>44213</v>
      </c>
      <c r="C18" s="2" t="s">
        <v>16</v>
      </c>
      <c r="D18" s="2" t="s">
        <v>9</v>
      </c>
      <c r="E18" s="2" t="s">
        <v>19</v>
      </c>
      <c r="F18" s="3">
        <v>4</v>
      </c>
      <c r="G18" s="3">
        <v>300</v>
      </c>
      <c r="H18" s="9">
        <f t="shared" si="0"/>
        <v>1200</v>
      </c>
    </row>
    <row r="19" spans="1:8" x14ac:dyDescent="0.3">
      <c r="A19" s="13">
        <v>18</v>
      </c>
      <c r="B19" s="1">
        <v>44214</v>
      </c>
      <c r="C19" s="2" t="s">
        <v>18</v>
      </c>
      <c r="D19" s="2" t="s">
        <v>9</v>
      </c>
      <c r="E19" s="2" t="s">
        <v>21</v>
      </c>
      <c r="F19" s="3">
        <v>3</v>
      </c>
      <c r="G19" s="3">
        <v>190</v>
      </c>
      <c r="H19" s="9">
        <f t="shared" si="0"/>
        <v>570</v>
      </c>
    </row>
    <row r="20" spans="1:8" x14ac:dyDescent="0.3">
      <c r="A20" s="13">
        <v>19</v>
      </c>
      <c r="B20" s="1">
        <v>44215</v>
      </c>
      <c r="C20" s="2" t="s">
        <v>20</v>
      </c>
      <c r="D20" s="2" t="s">
        <v>9</v>
      </c>
      <c r="E20" s="2" t="s">
        <v>10</v>
      </c>
      <c r="F20" s="3">
        <v>2</v>
      </c>
      <c r="G20" s="3">
        <v>210</v>
      </c>
      <c r="H20" s="9">
        <f t="shared" si="0"/>
        <v>420</v>
      </c>
    </row>
    <row r="21" spans="1:8" x14ac:dyDescent="0.3">
      <c r="A21" s="13">
        <v>20</v>
      </c>
      <c r="B21" s="1">
        <v>44216</v>
      </c>
      <c r="C21" s="2" t="s">
        <v>8</v>
      </c>
      <c r="D21" s="2" t="s">
        <v>9</v>
      </c>
      <c r="E21" s="2" t="s">
        <v>15</v>
      </c>
      <c r="F21" s="3">
        <v>7</v>
      </c>
      <c r="G21" s="3">
        <v>2100</v>
      </c>
      <c r="H21" s="9">
        <f t="shared" si="0"/>
        <v>14700</v>
      </c>
    </row>
    <row r="22" spans="1:8" x14ac:dyDescent="0.3">
      <c r="A22" s="13">
        <v>21</v>
      </c>
      <c r="B22" s="1">
        <v>44217</v>
      </c>
      <c r="C22" s="2" t="s">
        <v>11</v>
      </c>
      <c r="D22" s="2" t="s">
        <v>12</v>
      </c>
      <c r="E22" s="2" t="s">
        <v>17</v>
      </c>
      <c r="F22" s="3">
        <v>6</v>
      </c>
      <c r="G22" s="3">
        <v>1200</v>
      </c>
      <c r="H22" s="9">
        <f t="shared" si="0"/>
        <v>7200</v>
      </c>
    </row>
    <row r="23" spans="1:8" x14ac:dyDescent="0.3">
      <c r="A23" s="13">
        <v>22</v>
      </c>
      <c r="B23" s="1">
        <v>44218</v>
      </c>
      <c r="C23" s="2" t="s">
        <v>14</v>
      </c>
      <c r="D23" s="2" t="s">
        <v>9</v>
      </c>
      <c r="E23" s="2" t="s">
        <v>19</v>
      </c>
      <c r="F23" s="3">
        <v>5</v>
      </c>
      <c r="G23" s="3">
        <v>300</v>
      </c>
      <c r="H23" s="9">
        <f t="shared" si="0"/>
        <v>1500</v>
      </c>
    </row>
    <row r="24" spans="1:8" x14ac:dyDescent="0.3">
      <c r="A24" s="13">
        <v>23</v>
      </c>
      <c r="B24" s="1">
        <v>44219</v>
      </c>
      <c r="C24" s="2" t="s">
        <v>16</v>
      </c>
      <c r="D24" s="2" t="s">
        <v>12</v>
      </c>
      <c r="E24" s="2" t="s">
        <v>21</v>
      </c>
      <c r="F24" s="3">
        <v>4</v>
      </c>
      <c r="G24" s="3">
        <v>200</v>
      </c>
      <c r="H24" s="9">
        <f t="shared" si="0"/>
        <v>800</v>
      </c>
    </row>
    <row r="25" spans="1:8" x14ac:dyDescent="0.3">
      <c r="A25" s="13">
        <v>24</v>
      </c>
      <c r="B25" s="1">
        <v>44220</v>
      </c>
      <c r="C25" s="2" t="s">
        <v>18</v>
      </c>
      <c r="D25" s="2" t="s">
        <v>9</v>
      </c>
      <c r="E25" s="2" t="s">
        <v>10</v>
      </c>
      <c r="F25" s="3">
        <v>3</v>
      </c>
      <c r="G25" s="3">
        <v>190</v>
      </c>
      <c r="H25" s="9">
        <f t="shared" si="0"/>
        <v>570</v>
      </c>
    </row>
    <row r="26" spans="1:8" x14ac:dyDescent="0.3">
      <c r="A26" s="13">
        <v>25</v>
      </c>
      <c r="B26" s="1">
        <v>44221</v>
      </c>
      <c r="C26" s="2" t="s">
        <v>20</v>
      </c>
      <c r="D26" s="2" t="s">
        <v>9</v>
      </c>
      <c r="E26" s="2" t="s">
        <v>13</v>
      </c>
      <c r="F26" s="3">
        <v>2</v>
      </c>
      <c r="G26" s="3">
        <v>2100</v>
      </c>
      <c r="H26" s="9">
        <f t="shared" si="0"/>
        <v>4200</v>
      </c>
    </row>
    <row r="27" spans="1:8" x14ac:dyDescent="0.3">
      <c r="A27" s="13">
        <v>26</v>
      </c>
      <c r="B27" s="1">
        <v>44222</v>
      </c>
      <c r="C27" s="2" t="s">
        <v>20</v>
      </c>
      <c r="D27" s="2" t="s">
        <v>9</v>
      </c>
      <c r="E27" s="2" t="s">
        <v>10</v>
      </c>
      <c r="F27" s="3">
        <v>7</v>
      </c>
      <c r="G27" s="3">
        <v>210</v>
      </c>
      <c r="H27" s="9">
        <f t="shared" si="0"/>
        <v>1470</v>
      </c>
    </row>
    <row r="28" spans="1:8" x14ac:dyDescent="0.3">
      <c r="A28" s="13">
        <v>27</v>
      </c>
      <c r="B28" s="1">
        <v>44223</v>
      </c>
      <c r="C28" s="2" t="s">
        <v>8</v>
      </c>
      <c r="D28" s="2" t="s">
        <v>9</v>
      </c>
      <c r="E28" s="2" t="s">
        <v>13</v>
      </c>
      <c r="F28" s="3">
        <v>6</v>
      </c>
      <c r="G28" s="3">
        <v>2100</v>
      </c>
      <c r="H28" s="9">
        <f t="shared" si="0"/>
        <v>12600</v>
      </c>
    </row>
    <row r="29" spans="1:8" x14ac:dyDescent="0.3">
      <c r="A29" s="13">
        <v>28</v>
      </c>
      <c r="B29" s="1">
        <v>44224</v>
      </c>
      <c r="C29" s="2" t="s">
        <v>8</v>
      </c>
      <c r="D29" s="2" t="s">
        <v>12</v>
      </c>
      <c r="E29" s="2" t="s">
        <v>10</v>
      </c>
      <c r="F29" s="3">
        <v>7</v>
      </c>
      <c r="G29" s="3">
        <v>210</v>
      </c>
      <c r="H29" s="9">
        <f t="shared" si="0"/>
        <v>1470</v>
      </c>
    </row>
    <row r="30" spans="1:8" x14ac:dyDescent="0.3">
      <c r="A30" s="13">
        <v>29</v>
      </c>
      <c r="B30" s="1">
        <v>44225</v>
      </c>
      <c r="C30" s="2" t="s">
        <v>8</v>
      </c>
      <c r="D30" s="2" t="s">
        <v>22</v>
      </c>
      <c r="E30" s="2" t="s">
        <v>10</v>
      </c>
      <c r="F30" s="3">
        <v>7</v>
      </c>
      <c r="G30" s="3">
        <v>210</v>
      </c>
      <c r="H30" s="9">
        <f t="shared" si="0"/>
        <v>1470</v>
      </c>
    </row>
    <row r="31" spans="1:8" x14ac:dyDescent="0.3">
      <c r="A31" s="13">
        <v>30</v>
      </c>
      <c r="B31" s="1">
        <v>44226</v>
      </c>
      <c r="C31" s="2" t="s">
        <v>8</v>
      </c>
      <c r="D31" s="2" t="s">
        <v>23</v>
      </c>
      <c r="E31" s="2" t="s">
        <v>10</v>
      </c>
      <c r="F31" s="3">
        <v>7</v>
      </c>
      <c r="G31" s="3">
        <v>210</v>
      </c>
      <c r="H31" s="9">
        <f t="shared" si="0"/>
        <v>1470</v>
      </c>
    </row>
    <row r="32" spans="1:8" x14ac:dyDescent="0.3">
      <c r="A32" s="13">
        <v>31</v>
      </c>
      <c r="B32" s="1">
        <v>44227</v>
      </c>
      <c r="C32" s="2" t="s">
        <v>8</v>
      </c>
      <c r="D32" s="2" t="s">
        <v>9</v>
      </c>
      <c r="E32" s="2" t="s">
        <v>10</v>
      </c>
      <c r="F32" s="3">
        <v>7</v>
      </c>
      <c r="G32" s="3">
        <v>210</v>
      </c>
      <c r="H32" s="9">
        <f t="shared" si="0"/>
        <v>1470</v>
      </c>
    </row>
    <row r="33" spans="1:8" x14ac:dyDescent="0.3">
      <c r="A33" s="13">
        <v>32</v>
      </c>
      <c r="B33" s="1">
        <v>44228</v>
      </c>
      <c r="C33" s="2" t="s">
        <v>8</v>
      </c>
      <c r="D33" s="2" t="s">
        <v>12</v>
      </c>
      <c r="E33" s="2" t="s">
        <v>10</v>
      </c>
      <c r="F33" s="3">
        <v>7</v>
      </c>
      <c r="G33" s="3">
        <v>210</v>
      </c>
      <c r="H33" s="9">
        <f t="shared" si="0"/>
        <v>1470</v>
      </c>
    </row>
    <row r="34" spans="1:8" x14ac:dyDescent="0.3">
      <c r="A34" s="13">
        <v>33</v>
      </c>
      <c r="B34" s="1">
        <v>44229</v>
      </c>
      <c r="C34" s="2" t="s">
        <v>8</v>
      </c>
      <c r="D34" s="2" t="s">
        <v>22</v>
      </c>
      <c r="E34" s="2" t="s">
        <v>10</v>
      </c>
      <c r="F34" s="3">
        <v>7</v>
      </c>
      <c r="G34" s="3">
        <v>210</v>
      </c>
      <c r="H34" s="9">
        <f t="shared" si="0"/>
        <v>1470</v>
      </c>
    </row>
    <row r="35" spans="1:8" x14ac:dyDescent="0.3">
      <c r="A35" s="13">
        <v>34</v>
      </c>
      <c r="B35" s="1">
        <v>44230</v>
      </c>
      <c r="C35" s="2" t="s">
        <v>8</v>
      </c>
      <c r="D35" s="2" t="s">
        <v>23</v>
      </c>
      <c r="E35" s="2" t="s">
        <v>10</v>
      </c>
      <c r="F35" s="3">
        <v>7</v>
      </c>
      <c r="G35" s="3">
        <v>210</v>
      </c>
      <c r="H35" s="9">
        <f t="shared" si="0"/>
        <v>1470</v>
      </c>
    </row>
    <row r="36" spans="1:8" x14ac:dyDescent="0.3">
      <c r="A36" s="13">
        <v>35</v>
      </c>
      <c r="B36" s="1">
        <v>44231</v>
      </c>
      <c r="C36" s="2" t="s">
        <v>11</v>
      </c>
      <c r="D36" s="2" t="s">
        <v>12</v>
      </c>
      <c r="E36" s="2" t="s">
        <v>10</v>
      </c>
      <c r="F36" s="3">
        <v>7</v>
      </c>
      <c r="G36" s="3">
        <v>210</v>
      </c>
      <c r="H36" s="9">
        <f t="shared" si="0"/>
        <v>1470</v>
      </c>
    </row>
    <row r="37" spans="1:8" x14ac:dyDescent="0.3">
      <c r="A37" s="13">
        <v>36</v>
      </c>
      <c r="B37" s="1">
        <v>44232</v>
      </c>
      <c r="C37" s="2" t="s">
        <v>11</v>
      </c>
      <c r="D37" s="2" t="s">
        <v>9</v>
      </c>
      <c r="E37" s="2" t="s">
        <v>10</v>
      </c>
      <c r="F37" s="3">
        <v>7</v>
      </c>
      <c r="G37" s="3">
        <v>210</v>
      </c>
      <c r="H37" s="9">
        <f t="shared" si="0"/>
        <v>1470</v>
      </c>
    </row>
    <row r="38" spans="1:8" x14ac:dyDescent="0.3">
      <c r="A38" s="13">
        <v>37</v>
      </c>
      <c r="B38" s="1">
        <v>44233</v>
      </c>
      <c r="C38" s="2" t="s">
        <v>11</v>
      </c>
      <c r="D38" s="2" t="s">
        <v>22</v>
      </c>
      <c r="E38" s="2" t="s">
        <v>21</v>
      </c>
      <c r="F38" s="3">
        <v>2</v>
      </c>
      <c r="G38" s="3">
        <v>190</v>
      </c>
      <c r="H38" s="9">
        <f t="shared" si="0"/>
        <v>380</v>
      </c>
    </row>
    <row r="39" spans="1:8" x14ac:dyDescent="0.3">
      <c r="A39" s="13">
        <v>38</v>
      </c>
      <c r="B39" s="1">
        <v>44234</v>
      </c>
      <c r="C39" s="2" t="s">
        <v>11</v>
      </c>
      <c r="D39" s="2" t="s">
        <v>23</v>
      </c>
      <c r="E39" s="2" t="s">
        <v>10</v>
      </c>
      <c r="F39" s="3">
        <v>2</v>
      </c>
      <c r="G39" s="3">
        <v>210</v>
      </c>
      <c r="H39" s="9">
        <f t="shared" si="0"/>
        <v>420</v>
      </c>
    </row>
    <row r="40" spans="1:8" x14ac:dyDescent="0.3">
      <c r="A40" s="13">
        <v>39</v>
      </c>
      <c r="B40" s="1">
        <v>44235</v>
      </c>
      <c r="C40" s="2" t="s">
        <v>11</v>
      </c>
      <c r="D40" s="2" t="s">
        <v>12</v>
      </c>
      <c r="E40" s="2" t="s">
        <v>13</v>
      </c>
      <c r="F40" s="3">
        <v>7</v>
      </c>
      <c r="G40" s="3">
        <v>2100</v>
      </c>
      <c r="H40" s="9">
        <f t="shared" si="0"/>
        <v>14700</v>
      </c>
    </row>
    <row r="41" spans="1:8" x14ac:dyDescent="0.3">
      <c r="A41" s="13">
        <v>40</v>
      </c>
      <c r="B41" s="1">
        <v>44236</v>
      </c>
      <c r="C41" s="2" t="s">
        <v>11</v>
      </c>
      <c r="D41" s="2" t="s">
        <v>9</v>
      </c>
      <c r="E41" s="2" t="s">
        <v>15</v>
      </c>
      <c r="F41" s="3">
        <v>6</v>
      </c>
      <c r="G41" s="3">
        <v>1200</v>
      </c>
      <c r="H41" s="9">
        <f t="shared" si="0"/>
        <v>7200</v>
      </c>
    </row>
    <row r="42" spans="1:8" x14ac:dyDescent="0.3">
      <c r="A42" s="13">
        <v>41</v>
      </c>
      <c r="B42" s="1">
        <v>44237</v>
      </c>
      <c r="C42" s="2" t="s">
        <v>11</v>
      </c>
      <c r="D42" s="2" t="s">
        <v>22</v>
      </c>
      <c r="E42" s="2" t="s">
        <v>13</v>
      </c>
      <c r="F42" s="3">
        <v>7</v>
      </c>
      <c r="G42" s="3">
        <v>2100</v>
      </c>
      <c r="H42" s="9">
        <f t="shared" si="0"/>
        <v>14700</v>
      </c>
    </row>
    <row r="43" spans="1:8" x14ac:dyDescent="0.3">
      <c r="A43" s="13">
        <v>42</v>
      </c>
      <c r="B43" s="1">
        <v>44238</v>
      </c>
      <c r="C43" s="2" t="s">
        <v>11</v>
      </c>
      <c r="D43" s="2" t="s">
        <v>23</v>
      </c>
      <c r="E43" s="2" t="s">
        <v>13</v>
      </c>
      <c r="F43" s="3">
        <v>7</v>
      </c>
      <c r="G43" s="3">
        <v>2100</v>
      </c>
      <c r="H43" s="9">
        <f t="shared" si="0"/>
        <v>14700</v>
      </c>
    </row>
    <row r="44" spans="1:8" x14ac:dyDescent="0.3">
      <c r="A44" s="13">
        <v>43</v>
      </c>
      <c r="B44" s="1">
        <v>44239</v>
      </c>
      <c r="C44" s="2" t="s">
        <v>14</v>
      </c>
      <c r="D44" s="2" t="s">
        <v>23</v>
      </c>
      <c r="E44" s="2" t="s">
        <v>13</v>
      </c>
      <c r="F44" s="3">
        <v>7</v>
      </c>
      <c r="G44" s="3">
        <v>2100</v>
      </c>
      <c r="H44" s="9">
        <f t="shared" si="0"/>
        <v>14700</v>
      </c>
    </row>
    <row r="45" spans="1:8" x14ac:dyDescent="0.3">
      <c r="A45" s="13">
        <v>44</v>
      </c>
      <c r="B45" s="1">
        <v>44240</v>
      </c>
      <c r="C45" s="2" t="s">
        <v>16</v>
      </c>
      <c r="D45" s="2" t="s">
        <v>23</v>
      </c>
      <c r="E45" s="2" t="s">
        <v>13</v>
      </c>
      <c r="F45" s="3">
        <v>7</v>
      </c>
      <c r="G45" s="3">
        <v>2100</v>
      </c>
      <c r="H45" s="9">
        <f t="shared" si="0"/>
        <v>14700</v>
      </c>
    </row>
    <row r="46" spans="1:8" x14ac:dyDescent="0.3">
      <c r="A46" s="13">
        <v>45</v>
      </c>
      <c r="B46" s="1">
        <v>44241</v>
      </c>
      <c r="C46" s="2" t="s">
        <v>18</v>
      </c>
      <c r="D46" s="2" t="s">
        <v>23</v>
      </c>
      <c r="E46" s="2" t="s">
        <v>13</v>
      </c>
      <c r="F46" s="3">
        <v>7</v>
      </c>
      <c r="G46" s="3">
        <v>2100</v>
      </c>
      <c r="H46" s="9">
        <f t="shared" si="0"/>
        <v>14700</v>
      </c>
    </row>
    <row r="47" spans="1:8" x14ac:dyDescent="0.3">
      <c r="A47" s="13">
        <v>46</v>
      </c>
      <c r="B47" s="1">
        <v>44242</v>
      </c>
      <c r="C47" s="2" t="s">
        <v>20</v>
      </c>
      <c r="D47" s="2" t="s">
        <v>23</v>
      </c>
      <c r="E47" s="2" t="s">
        <v>13</v>
      </c>
      <c r="F47" s="3">
        <v>7</v>
      </c>
      <c r="G47" s="3">
        <v>2100</v>
      </c>
      <c r="H47" s="9">
        <f t="shared" si="0"/>
        <v>14700</v>
      </c>
    </row>
    <row r="48" spans="1:8" x14ac:dyDescent="0.3">
      <c r="A48" s="13">
        <v>47</v>
      </c>
      <c r="B48" s="1">
        <v>44243</v>
      </c>
      <c r="C48" s="2" t="s">
        <v>20</v>
      </c>
      <c r="D48" s="2" t="s">
        <v>9</v>
      </c>
      <c r="E48" s="2" t="s">
        <v>13</v>
      </c>
      <c r="F48" s="3">
        <v>7</v>
      </c>
      <c r="G48" s="3">
        <v>2100</v>
      </c>
      <c r="H48" s="9">
        <f t="shared" si="0"/>
        <v>14700</v>
      </c>
    </row>
    <row r="49" spans="1:8" x14ac:dyDescent="0.3">
      <c r="A49" s="13">
        <v>48</v>
      </c>
      <c r="B49" s="1">
        <v>44244</v>
      </c>
      <c r="C49" s="2" t="s">
        <v>20</v>
      </c>
      <c r="D49" s="2" t="s">
        <v>12</v>
      </c>
      <c r="E49" s="2" t="s">
        <v>13</v>
      </c>
      <c r="F49" s="3">
        <v>7</v>
      </c>
      <c r="G49" s="3">
        <v>2100</v>
      </c>
      <c r="H49" s="9">
        <f t="shared" si="0"/>
        <v>14700</v>
      </c>
    </row>
    <row r="50" spans="1:8" x14ac:dyDescent="0.3">
      <c r="A50" s="13">
        <v>49</v>
      </c>
      <c r="B50" s="1">
        <v>44245</v>
      </c>
      <c r="C50" s="2" t="s">
        <v>20</v>
      </c>
      <c r="D50" s="2" t="s">
        <v>22</v>
      </c>
      <c r="E50" s="2" t="s">
        <v>13</v>
      </c>
      <c r="F50" s="3">
        <v>7</v>
      </c>
      <c r="G50" s="3">
        <v>2100</v>
      </c>
      <c r="H50" s="9">
        <f t="shared" si="0"/>
        <v>14700</v>
      </c>
    </row>
    <row r="51" spans="1:8" x14ac:dyDescent="0.3">
      <c r="A51" s="13">
        <v>50</v>
      </c>
      <c r="B51" s="1">
        <v>44246</v>
      </c>
      <c r="C51" s="2" t="s">
        <v>20</v>
      </c>
      <c r="D51" s="2" t="s">
        <v>23</v>
      </c>
      <c r="E51" s="2" t="s">
        <v>13</v>
      </c>
      <c r="F51" s="3">
        <v>7</v>
      </c>
      <c r="G51" s="3">
        <v>2100</v>
      </c>
      <c r="H51" s="9">
        <f t="shared" si="0"/>
        <v>14700</v>
      </c>
    </row>
    <row r="52" spans="1:8" x14ac:dyDescent="0.3">
      <c r="A52" s="13">
        <v>51</v>
      </c>
      <c r="B52" s="1">
        <v>44247</v>
      </c>
      <c r="C52" s="2" t="s">
        <v>20</v>
      </c>
      <c r="D52" s="2" t="s">
        <v>9</v>
      </c>
      <c r="E52" s="2" t="s">
        <v>10</v>
      </c>
      <c r="F52" s="3">
        <v>7</v>
      </c>
      <c r="G52" s="3">
        <v>210</v>
      </c>
      <c r="H52" s="9">
        <f t="shared" si="0"/>
        <v>1470</v>
      </c>
    </row>
    <row r="53" spans="1:8" x14ac:dyDescent="0.3">
      <c r="A53" s="13">
        <v>52</v>
      </c>
      <c r="B53" s="1">
        <v>44248</v>
      </c>
      <c r="C53" s="2" t="s">
        <v>20</v>
      </c>
      <c r="D53" s="2" t="s">
        <v>12</v>
      </c>
      <c r="E53" s="2" t="s">
        <v>13</v>
      </c>
      <c r="F53" s="3">
        <v>6</v>
      </c>
      <c r="G53" s="3">
        <v>2100</v>
      </c>
      <c r="H53" s="9">
        <f t="shared" si="0"/>
        <v>12600</v>
      </c>
    </row>
    <row r="54" spans="1:8" x14ac:dyDescent="0.3">
      <c r="A54" s="13">
        <v>53</v>
      </c>
      <c r="B54" s="1">
        <v>44249</v>
      </c>
      <c r="C54" s="2" t="s">
        <v>20</v>
      </c>
      <c r="D54" s="2" t="s">
        <v>22</v>
      </c>
      <c r="E54" s="2" t="s">
        <v>15</v>
      </c>
      <c r="F54" s="3">
        <v>5</v>
      </c>
      <c r="G54" s="3">
        <v>1200</v>
      </c>
      <c r="H54" s="9">
        <f t="shared" si="0"/>
        <v>6000</v>
      </c>
    </row>
    <row r="55" spans="1:8" x14ac:dyDescent="0.3">
      <c r="A55" s="13">
        <v>54</v>
      </c>
      <c r="B55" s="1">
        <v>44250</v>
      </c>
      <c r="C55" s="2" t="s">
        <v>20</v>
      </c>
      <c r="D55" s="2" t="s">
        <v>23</v>
      </c>
      <c r="E55" s="2" t="s">
        <v>17</v>
      </c>
      <c r="F55" s="3">
        <v>4</v>
      </c>
      <c r="G55" s="3">
        <v>1500</v>
      </c>
      <c r="H55" s="9">
        <f t="shared" si="0"/>
        <v>6000</v>
      </c>
    </row>
    <row r="56" spans="1:8" x14ac:dyDescent="0.3">
      <c r="A56" s="13">
        <v>55</v>
      </c>
      <c r="B56" s="1">
        <v>44251</v>
      </c>
      <c r="C56" s="2" t="s">
        <v>8</v>
      </c>
      <c r="D56" s="2" t="s">
        <v>9</v>
      </c>
      <c r="E56" s="2" t="s">
        <v>19</v>
      </c>
      <c r="F56" s="3">
        <v>3</v>
      </c>
      <c r="G56" s="3">
        <v>300</v>
      </c>
      <c r="H56" s="9">
        <f t="shared" si="0"/>
        <v>900</v>
      </c>
    </row>
    <row r="57" spans="1:8" x14ac:dyDescent="0.3">
      <c r="A57" s="13">
        <v>56</v>
      </c>
      <c r="B57" s="1">
        <v>44252</v>
      </c>
      <c r="C57" s="2" t="s">
        <v>11</v>
      </c>
      <c r="D57" s="2" t="s">
        <v>12</v>
      </c>
      <c r="E57" s="2" t="s">
        <v>21</v>
      </c>
      <c r="F57" s="3">
        <v>2</v>
      </c>
      <c r="G57" s="3">
        <v>190</v>
      </c>
      <c r="H57" s="9">
        <f t="shared" si="0"/>
        <v>380</v>
      </c>
    </row>
    <row r="58" spans="1:8" x14ac:dyDescent="0.3">
      <c r="A58" s="13">
        <v>57</v>
      </c>
      <c r="B58" s="1">
        <v>44253</v>
      </c>
      <c r="C58" s="2" t="s">
        <v>14</v>
      </c>
      <c r="D58" s="2" t="s">
        <v>9</v>
      </c>
      <c r="E58" s="2" t="s">
        <v>10</v>
      </c>
      <c r="F58" s="3">
        <v>7</v>
      </c>
      <c r="G58" s="3">
        <v>210</v>
      </c>
      <c r="H58" s="9">
        <f t="shared" si="0"/>
        <v>1470</v>
      </c>
    </row>
    <row r="59" spans="1:8" x14ac:dyDescent="0.3">
      <c r="A59" s="13">
        <v>58</v>
      </c>
      <c r="B59" s="1">
        <v>44254</v>
      </c>
      <c r="C59" s="2" t="s">
        <v>16</v>
      </c>
      <c r="D59" s="2" t="s">
        <v>12</v>
      </c>
      <c r="E59" s="2" t="s">
        <v>13</v>
      </c>
      <c r="F59" s="3">
        <v>6</v>
      </c>
      <c r="G59" s="3">
        <v>2100</v>
      </c>
      <c r="H59" s="9">
        <f t="shared" si="0"/>
        <v>12600</v>
      </c>
    </row>
    <row r="60" spans="1:8" x14ac:dyDescent="0.3">
      <c r="A60" s="13">
        <v>59</v>
      </c>
      <c r="B60" s="1">
        <v>44255</v>
      </c>
      <c r="C60" s="2" t="s">
        <v>18</v>
      </c>
      <c r="D60" s="2" t="s">
        <v>9</v>
      </c>
      <c r="E60" s="2" t="s">
        <v>15</v>
      </c>
      <c r="F60" s="3">
        <v>5</v>
      </c>
      <c r="G60" s="3">
        <v>1200</v>
      </c>
      <c r="H60" s="9">
        <f t="shared" si="0"/>
        <v>6000</v>
      </c>
    </row>
    <row r="61" spans="1:8" x14ac:dyDescent="0.3">
      <c r="A61" s="13">
        <v>60</v>
      </c>
      <c r="B61" s="1">
        <v>44256</v>
      </c>
      <c r="C61" s="2" t="s">
        <v>20</v>
      </c>
      <c r="D61" s="2" t="s">
        <v>9</v>
      </c>
      <c r="E61" s="2" t="s">
        <v>17</v>
      </c>
      <c r="F61" s="3">
        <v>4</v>
      </c>
      <c r="G61" s="3">
        <v>1500</v>
      </c>
      <c r="H61" s="9">
        <f t="shared" si="0"/>
        <v>6000</v>
      </c>
    </row>
    <row r="62" spans="1:8" x14ac:dyDescent="0.3">
      <c r="A62" s="13">
        <v>61</v>
      </c>
      <c r="B62" s="1">
        <v>44257</v>
      </c>
      <c r="C62" s="2" t="s">
        <v>8</v>
      </c>
      <c r="D62" s="2" t="s">
        <v>9</v>
      </c>
      <c r="E62" s="2" t="s">
        <v>19</v>
      </c>
      <c r="F62" s="3">
        <v>3</v>
      </c>
      <c r="G62" s="3">
        <v>300</v>
      </c>
      <c r="H62" s="9">
        <f t="shared" si="0"/>
        <v>900</v>
      </c>
    </row>
    <row r="63" spans="1:8" x14ac:dyDescent="0.3">
      <c r="A63" s="13">
        <v>62</v>
      </c>
      <c r="B63" s="1">
        <v>44258</v>
      </c>
      <c r="C63" s="2" t="s">
        <v>11</v>
      </c>
      <c r="D63" s="2" t="s">
        <v>12</v>
      </c>
      <c r="E63" s="2" t="s">
        <v>21</v>
      </c>
      <c r="F63" s="3">
        <v>2</v>
      </c>
      <c r="G63" s="3">
        <v>190</v>
      </c>
      <c r="H63" s="9">
        <f t="shared" si="0"/>
        <v>380</v>
      </c>
    </row>
    <row r="64" spans="1:8" x14ac:dyDescent="0.3">
      <c r="A64" s="13">
        <v>63</v>
      </c>
      <c r="B64" s="1">
        <v>44259</v>
      </c>
      <c r="C64" s="2" t="s">
        <v>14</v>
      </c>
      <c r="D64" s="2" t="s">
        <v>12</v>
      </c>
      <c r="E64" s="2" t="s">
        <v>10</v>
      </c>
      <c r="F64" s="3">
        <v>2</v>
      </c>
      <c r="G64" s="3">
        <v>210</v>
      </c>
      <c r="H64" s="9">
        <f t="shared" si="0"/>
        <v>420</v>
      </c>
    </row>
    <row r="65" spans="1:8" x14ac:dyDescent="0.3">
      <c r="A65" s="13">
        <v>64</v>
      </c>
      <c r="B65" s="1">
        <v>44260</v>
      </c>
      <c r="C65" s="2" t="s">
        <v>16</v>
      </c>
      <c r="D65" s="2" t="s">
        <v>9</v>
      </c>
      <c r="E65" s="2" t="s">
        <v>13</v>
      </c>
      <c r="F65" s="3">
        <v>7</v>
      </c>
      <c r="G65" s="3">
        <v>2100</v>
      </c>
      <c r="H65" s="9">
        <f t="shared" si="0"/>
        <v>14700</v>
      </c>
    </row>
    <row r="66" spans="1:8" x14ac:dyDescent="0.3">
      <c r="A66" s="13">
        <v>65</v>
      </c>
      <c r="B66" s="1">
        <v>44261</v>
      </c>
      <c r="C66" s="2" t="s">
        <v>18</v>
      </c>
      <c r="D66" s="2" t="s">
        <v>9</v>
      </c>
      <c r="E66" s="2" t="s">
        <v>15</v>
      </c>
      <c r="F66" s="3">
        <v>6</v>
      </c>
      <c r="G66" s="3">
        <v>1200</v>
      </c>
      <c r="H66" s="9">
        <f t="shared" si="0"/>
        <v>7200</v>
      </c>
    </row>
    <row r="67" spans="1:8" x14ac:dyDescent="0.3">
      <c r="A67" s="13">
        <v>66</v>
      </c>
      <c r="B67" s="1">
        <v>44262</v>
      </c>
      <c r="C67" s="2" t="s">
        <v>20</v>
      </c>
      <c r="D67" s="2" t="s">
        <v>12</v>
      </c>
      <c r="E67" s="2" t="s">
        <v>17</v>
      </c>
      <c r="F67" s="3">
        <v>5</v>
      </c>
      <c r="G67" s="3">
        <v>1500</v>
      </c>
      <c r="H67" s="9">
        <f t="shared" ref="H67:H130" si="1">F67*G67</f>
        <v>7500</v>
      </c>
    </row>
    <row r="68" spans="1:8" x14ac:dyDescent="0.3">
      <c r="A68" s="13">
        <v>67</v>
      </c>
      <c r="B68" s="1">
        <v>44263</v>
      </c>
      <c r="C68" s="2" t="s">
        <v>20</v>
      </c>
      <c r="D68" s="2" t="s">
        <v>9</v>
      </c>
      <c r="E68" s="2" t="s">
        <v>19</v>
      </c>
      <c r="F68" s="3">
        <v>4</v>
      </c>
      <c r="G68" s="3">
        <v>300</v>
      </c>
      <c r="H68" s="9">
        <f t="shared" si="1"/>
        <v>1200</v>
      </c>
    </row>
    <row r="69" spans="1:8" x14ac:dyDescent="0.3">
      <c r="A69" s="13">
        <v>68</v>
      </c>
      <c r="B69" s="1">
        <v>44264</v>
      </c>
      <c r="C69" s="2" t="s">
        <v>8</v>
      </c>
      <c r="D69" s="2" t="s">
        <v>9</v>
      </c>
      <c r="E69" s="2" t="s">
        <v>21</v>
      </c>
      <c r="F69" s="3">
        <v>3</v>
      </c>
      <c r="G69" s="3">
        <v>190</v>
      </c>
      <c r="H69" s="9">
        <f t="shared" si="1"/>
        <v>570</v>
      </c>
    </row>
    <row r="70" spans="1:8" x14ac:dyDescent="0.3">
      <c r="A70" s="13">
        <v>69</v>
      </c>
      <c r="B70" s="1">
        <v>44265</v>
      </c>
      <c r="C70" s="2" t="s">
        <v>11</v>
      </c>
      <c r="D70" s="2" t="s">
        <v>9</v>
      </c>
      <c r="E70" s="2" t="s">
        <v>10</v>
      </c>
      <c r="F70" s="3">
        <v>2</v>
      </c>
      <c r="G70" s="3">
        <v>210</v>
      </c>
      <c r="H70" s="9">
        <f t="shared" si="1"/>
        <v>420</v>
      </c>
    </row>
    <row r="71" spans="1:8" x14ac:dyDescent="0.3">
      <c r="A71" s="13">
        <v>70</v>
      </c>
      <c r="B71" s="1">
        <v>44266</v>
      </c>
      <c r="C71" s="2" t="s">
        <v>14</v>
      </c>
      <c r="D71" s="2" t="s">
        <v>9</v>
      </c>
      <c r="E71" s="2" t="s">
        <v>21</v>
      </c>
      <c r="F71" s="3">
        <v>3</v>
      </c>
      <c r="G71" s="3">
        <v>190</v>
      </c>
      <c r="H71" s="9">
        <f t="shared" si="1"/>
        <v>570</v>
      </c>
    </row>
    <row r="72" spans="1:8" x14ac:dyDescent="0.3">
      <c r="A72" s="13">
        <v>71</v>
      </c>
      <c r="B72" s="1">
        <v>44267</v>
      </c>
      <c r="C72" s="2" t="s">
        <v>16</v>
      </c>
      <c r="D72" s="2" t="s">
        <v>9</v>
      </c>
      <c r="E72" s="2" t="s">
        <v>10</v>
      </c>
      <c r="F72" s="3">
        <v>2</v>
      </c>
      <c r="G72" s="3">
        <v>210</v>
      </c>
      <c r="H72" s="9">
        <f t="shared" si="1"/>
        <v>420</v>
      </c>
    </row>
    <row r="73" spans="1:8" x14ac:dyDescent="0.3">
      <c r="A73" s="13">
        <v>72</v>
      </c>
      <c r="B73" s="1">
        <v>44268</v>
      </c>
      <c r="C73" s="2" t="s">
        <v>18</v>
      </c>
      <c r="D73" s="2" t="s">
        <v>9</v>
      </c>
      <c r="E73" s="2" t="s">
        <v>21</v>
      </c>
      <c r="F73" s="3">
        <v>3</v>
      </c>
      <c r="G73" s="3">
        <v>190</v>
      </c>
      <c r="H73" s="9">
        <f t="shared" si="1"/>
        <v>570</v>
      </c>
    </row>
    <row r="74" spans="1:8" x14ac:dyDescent="0.3">
      <c r="A74" s="13">
        <v>73</v>
      </c>
      <c r="B74" s="1">
        <v>44269</v>
      </c>
      <c r="C74" s="2" t="s">
        <v>20</v>
      </c>
      <c r="D74" s="2" t="s">
        <v>9</v>
      </c>
      <c r="E74" s="2" t="s">
        <v>10</v>
      </c>
      <c r="F74" s="3">
        <v>2</v>
      </c>
      <c r="G74" s="3">
        <v>210</v>
      </c>
      <c r="H74" s="9">
        <f t="shared" si="1"/>
        <v>420</v>
      </c>
    </row>
    <row r="75" spans="1:8" x14ac:dyDescent="0.3">
      <c r="A75" s="13">
        <v>74</v>
      </c>
      <c r="B75" s="1">
        <v>44270</v>
      </c>
      <c r="C75" s="2" t="s">
        <v>8</v>
      </c>
      <c r="D75" s="2" t="s">
        <v>9</v>
      </c>
      <c r="E75" s="2" t="s">
        <v>21</v>
      </c>
      <c r="F75" s="3">
        <v>3</v>
      </c>
      <c r="G75" s="3">
        <v>190</v>
      </c>
      <c r="H75" s="9">
        <f t="shared" si="1"/>
        <v>570</v>
      </c>
    </row>
    <row r="76" spans="1:8" x14ac:dyDescent="0.3">
      <c r="A76" s="13">
        <v>75</v>
      </c>
      <c r="B76" s="1">
        <v>44271</v>
      </c>
      <c r="C76" s="2" t="s">
        <v>11</v>
      </c>
      <c r="D76" s="2" t="s">
        <v>12</v>
      </c>
      <c r="E76" s="2" t="s">
        <v>10</v>
      </c>
      <c r="F76" s="3">
        <v>2</v>
      </c>
      <c r="G76" s="3">
        <v>210</v>
      </c>
      <c r="H76" s="9">
        <f t="shared" si="1"/>
        <v>420</v>
      </c>
    </row>
    <row r="77" spans="1:8" x14ac:dyDescent="0.3">
      <c r="A77" s="13">
        <v>76</v>
      </c>
      <c r="B77" s="1">
        <v>44272</v>
      </c>
      <c r="C77" s="2" t="s">
        <v>14</v>
      </c>
      <c r="D77" s="2" t="s">
        <v>9</v>
      </c>
      <c r="E77" s="2" t="s">
        <v>21</v>
      </c>
      <c r="F77" s="3">
        <v>3</v>
      </c>
      <c r="G77" s="3">
        <v>190</v>
      </c>
      <c r="H77" s="9">
        <f t="shared" si="1"/>
        <v>570</v>
      </c>
    </row>
    <row r="78" spans="1:8" x14ac:dyDescent="0.3">
      <c r="A78" s="13">
        <v>77</v>
      </c>
      <c r="B78" s="1">
        <v>44273</v>
      </c>
      <c r="C78" s="2" t="s">
        <v>16</v>
      </c>
      <c r="D78" s="2" t="s">
        <v>12</v>
      </c>
      <c r="E78" s="2" t="s">
        <v>10</v>
      </c>
      <c r="F78" s="3">
        <v>2</v>
      </c>
      <c r="G78" s="3">
        <v>210</v>
      </c>
      <c r="H78" s="9">
        <f t="shared" si="1"/>
        <v>420</v>
      </c>
    </row>
    <row r="79" spans="1:8" x14ac:dyDescent="0.3">
      <c r="A79" s="13">
        <v>78</v>
      </c>
      <c r="B79" s="1">
        <v>44274</v>
      </c>
      <c r="C79" s="2" t="s">
        <v>18</v>
      </c>
      <c r="D79" s="2" t="s">
        <v>9</v>
      </c>
      <c r="E79" s="2" t="s">
        <v>15</v>
      </c>
      <c r="F79" s="3">
        <v>5</v>
      </c>
      <c r="G79" s="3">
        <v>1200</v>
      </c>
      <c r="H79" s="9">
        <f t="shared" si="1"/>
        <v>6000</v>
      </c>
    </row>
    <row r="80" spans="1:8" x14ac:dyDescent="0.3">
      <c r="A80" s="13">
        <v>79</v>
      </c>
      <c r="B80" s="1">
        <v>44275</v>
      </c>
      <c r="C80" s="2" t="s">
        <v>20</v>
      </c>
      <c r="D80" s="2" t="s">
        <v>9</v>
      </c>
      <c r="E80" s="2" t="s">
        <v>17</v>
      </c>
      <c r="F80" s="3">
        <v>4</v>
      </c>
      <c r="G80" s="3">
        <v>1500</v>
      </c>
      <c r="H80" s="9">
        <f t="shared" si="1"/>
        <v>6000</v>
      </c>
    </row>
    <row r="81" spans="1:8" x14ac:dyDescent="0.3">
      <c r="A81" s="13">
        <v>80</v>
      </c>
      <c r="B81" s="1">
        <v>44276</v>
      </c>
      <c r="C81" s="2" t="s">
        <v>20</v>
      </c>
      <c r="D81" s="2" t="s">
        <v>9</v>
      </c>
      <c r="E81" s="2" t="s">
        <v>19</v>
      </c>
      <c r="F81" s="3">
        <v>3</v>
      </c>
      <c r="G81" s="3">
        <v>300</v>
      </c>
      <c r="H81" s="9">
        <f t="shared" si="1"/>
        <v>900</v>
      </c>
    </row>
    <row r="82" spans="1:8" x14ac:dyDescent="0.3">
      <c r="A82" s="13">
        <v>81</v>
      </c>
      <c r="B82" s="1">
        <v>44277</v>
      </c>
      <c r="C82" s="2" t="s">
        <v>8</v>
      </c>
      <c r="D82" s="2" t="s">
        <v>9</v>
      </c>
      <c r="E82" s="2" t="s">
        <v>21</v>
      </c>
      <c r="F82" s="3">
        <v>2</v>
      </c>
      <c r="G82" s="3">
        <v>190</v>
      </c>
      <c r="H82" s="9">
        <f t="shared" si="1"/>
        <v>380</v>
      </c>
    </row>
    <row r="83" spans="1:8" x14ac:dyDescent="0.3">
      <c r="A83" s="13">
        <v>82</v>
      </c>
      <c r="B83" s="1">
        <v>44278</v>
      </c>
      <c r="C83" s="2" t="s">
        <v>8</v>
      </c>
      <c r="D83" s="2" t="s">
        <v>12</v>
      </c>
      <c r="E83" s="2" t="s">
        <v>10</v>
      </c>
      <c r="F83" s="3">
        <v>7</v>
      </c>
      <c r="G83" s="3">
        <v>210</v>
      </c>
      <c r="H83" s="9">
        <f t="shared" si="1"/>
        <v>1470</v>
      </c>
    </row>
    <row r="84" spans="1:8" x14ac:dyDescent="0.3">
      <c r="A84" s="13">
        <v>83</v>
      </c>
      <c r="B84" s="1">
        <v>44279</v>
      </c>
      <c r="C84" s="2" t="s">
        <v>8</v>
      </c>
      <c r="D84" s="2" t="s">
        <v>22</v>
      </c>
      <c r="E84" s="2" t="s">
        <v>13</v>
      </c>
      <c r="F84" s="3">
        <v>6</v>
      </c>
      <c r="G84" s="3">
        <v>2100</v>
      </c>
      <c r="H84" s="9">
        <f t="shared" si="1"/>
        <v>12600</v>
      </c>
    </row>
    <row r="85" spans="1:8" x14ac:dyDescent="0.3">
      <c r="A85" s="13">
        <v>84</v>
      </c>
      <c r="B85" s="1">
        <v>44280</v>
      </c>
      <c r="C85" s="2" t="s">
        <v>8</v>
      </c>
      <c r="D85" s="2" t="s">
        <v>23</v>
      </c>
      <c r="E85" s="2" t="s">
        <v>15</v>
      </c>
      <c r="F85" s="3">
        <v>5</v>
      </c>
      <c r="G85" s="3">
        <v>1200</v>
      </c>
      <c r="H85" s="9">
        <f t="shared" si="1"/>
        <v>6000</v>
      </c>
    </row>
    <row r="86" spans="1:8" x14ac:dyDescent="0.3">
      <c r="A86" s="13">
        <v>85</v>
      </c>
      <c r="B86" s="1">
        <v>44281</v>
      </c>
      <c r="C86" s="2" t="s">
        <v>8</v>
      </c>
      <c r="D86" s="2" t="s">
        <v>9</v>
      </c>
      <c r="E86" s="2" t="s">
        <v>17</v>
      </c>
      <c r="F86" s="3">
        <v>4</v>
      </c>
      <c r="G86" s="3">
        <v>1500</v>
      </c>
      <c r="H86" s="9">
        <f t="shared" si="1"/>
        <v>6000</v>
      </c>
    </row>
    <row r="87" spans="1:8" x14ac:dyDescent="0.3">
      <c r="A87" s="13">
        <v>86</v>
      </c>
      <c r="B87" s="1">
        <v>44282</v>
      </c>
      <c r="C87" s="2" t="s">
        <v>8</v>
      </c>
      <c r="D87" s="2" t="s">
        <v>12</v>
      </c>
      <c r="E87" s="2" t="s">
        <v>19</v>
      </c>
      <c r="F87" s="3">
        <v>3</v>
      </c>
      <c r="G87" s="3">
        <v>300</v>
      </c>
      <c r="H87" s="9">
        <f t="shared" si="1"/>
        <v>900</v>
      </c>
    </row>
    <row r="88" spans="1:8" x14ac:dyDescent="0.3">
      <c r="A88" s="13">
        <v>87</v>
      </c>
      <c r="B88" s="1">
        <v>44283</v>
      </c>
      <c r="C88" s="2" t="s">
        <v>8</v>
      </c>
      <c r="D88" s="2" t="s">
        <v>22</v>
      </c>
      <c r="E88" s="2" t="s">
        <v>21</v>
      </c>
      <c r="F88" s="3">
        <v>2</v>
      </c>
      <c r="G88" s="3">
        <v>190</v>
      </c>
      <c r="H88" s="9">
        <f t="shared" si="1"/>
        <v>380</v>
      </c>
    </row>
    <row r="89" spans="1:8" x14ac:dyDescent="0.3">
      <c r="A89" s="13">
        <v>88</v>
      </c>
      <c r="B89" s="1">
        <v>44284</v>
      </c>
      <c r="C89" s="2" t="s">
        <v>8</v>
      </c>
      <c r="D89" s="2" t="s">
        <v>23</v>
      </c>
      <c r="E89" s="2" t="s">
        <v>10</v>
      </c>
      <c r="F89" s="3">
        <v>2</v>
      </c>
      <c r="G89" s="3">
        <v>210</v>
      </c>
      <c r="H89" s="9">
        <f t="shared" si="1"/>
        <v>420</v>
      </c>
    </row>
    <row r="90" spans="1:8" x14ac:dyDescent="0.3">
      <c r="A90" s="13">
        <v>89</v>
      </c>
      <c r="B90" s="1">
        <v>44285</v>
      </c>
      <c r="C90" s="2" t="s">
        <v>11</v>
      </c>
      <c r="D90" s="2" t="s">
        <v>12</v>
      </c>
      <c r="E90" s="2" t="s">
        <v>19</v>
      </c>
      <c r="F90" s="3">
        <v>3</v>
      </c>
      <c r="G90" s="3">
        <v>300</v>
      </c>
      <c r="H90" s="9">
        <f t="shared" si="1"/>
        <v>900</v>
      </c>
    </row>
    <row r="91" spans="1:8" x14ac:dyDescent="0.3">
      <c r="A91" s="13">
        <v>90</v>
      </c>
      <c r="B91" s="1">
        <v>44286</v>
      </c>
      <c r="C91" s="2" t="s">
        <v>11</v>
      </c>
      <c r="D91" s="2" t="s">
        <v>9</v>
      </c>
      <c r="E91" s="2" t="s">
        <v>19</v>
      </c>
      <c r="F91" s="3">
        <v>3</v>
      </c>
      <c r="G91" s="3">
        <v>300</v>
      </c>
      <c r="H91" s="9">
        <f t="shared" si="1"/>
        <v>900</v>
      </c>
    </row>
    <row r="92" spans="1:8" x14ac:dyDescent="0.3">
      <c r="A92" s="13">
        <v>91</v>
      </c>
      <c r="B92" s="1">
        <v>44287</v>
      </c>
      <c r="C92" s="2" t="s">
        <v>11</v>
      </c>
      <c r="D92" s="2" t="s">
        <v>22</v>
      </c>
      <c r="E92" s="2" t="s">
        <v>19</v>
      </c>
      <c r="F92" s="3">
        <v>3</v>
      </c>
      <c r="G92" s="3">
        <v>300</v>
      </c>
      <c r="H92" s="9">
        <f t="shared" si="1"/>
        <v>900</v>
      </c>
    </row>
    <row r="93" spans="1:8" x14ac:dyDescent="0.3">
      <c r="A93" s="13">
        <v>92</v>
      </c>
      <c r="B93" s="1">
        <v>44288</v>
      </c>
      <c r="C93" s="2" t="s">
        <v>11</v>
      </c>
      <c r="D93" s="2" t="s">
        <v>23</v>
      </c>
      <c r="E93" s="2" t="s">
        <v>19</v>
      </c>
      <c r="F93" s="3">
        <v>3</v>
      </c>
      <c r="G93" s="3">
        <v>300</v>
      </c>
      <c r="H93" s="9">
        <f t="shared" si="1"/>
        <v>900</v>
      </c>
    </row>
    <row r="94" spans="1:8" x14ac:dyDescent="0.3">
      <c r="A94" s="13">
        <v>93</v>
      </c>
      <c r="B94" s="1">
        <v>44289</v>
      </c>
      <c r="C94" s="2" t="s">
        <v>11</v>
      </c>
      <c r="D94" s="2" t="s">
        <v>12</v>
      </c>
      <c r="E94" s="2" t="s">
        <v>19</v>
      </c>
      <c r="F94" s="3">
        <v>3</v>
      </c>
      <c r="G94" s="3">
        <v>300</v>
      </c>
      <c r="H94" s="9">
        <f t="shared" si="1"/>
        <v>900</v>
      </c>
    </row>
    <row r="95" spans="1:8" x14ac:dyDescent="0.3">
      <c r="A95" s="13">
        <v>94</v>
      </c>
      <c r="B95" s="1">
        <v>44290</v>
      </c>
      <c r="C95" s="2" t="s">
        <v>11</v>
      </c>
      <c r="D95" s="2" t="s">
        <v>9</v>
      </c>
      <c r="E95" s="2" t="s">
        <v>19</v>
      </c>
      <c r="F95" s="3">
        <v>3</v>
      </c>
      <c r="G95" s="3">
        <v>300</v>
      </c>
      <c r="H95" s="9">
        <f t="shared" si="1"/>
        <v>900</v>
      </c>
    </row>
    <row r="96" spans="1:8" x14ac:dyDescent="0.3">
      <c r="A96" s="13">
        <v>95</v>
      </c>
      <c r="B96" s="1">
        <v>44291</v>
      </c>
      <c r="C96" s="2" t="s">
        <v>11</v>
      </c>
      <c r="D96" s="2" t="s">
        <v>22</v>
      </c>
      <c r="E96" s="2" t="s">
        <v>19</v>
      </c>
      <c r="F96" s="3">
        <v>3</v>
      </c>
      <c r="G96" s="3">
        <v>300</v>
      </c>
      <c r="H96" s="9">
        <f t="shared" si="1"/>
        <v>900</v>
      </c>
    </row>
    <row r="97" spans="1:8" x14ac:dyDescent="0.3">
      <c r="A97" s="13">
        <v>96</v>
      </c>
      <c r="B97" s="1">
        <v>44292</v>
      </c>
      <c r="C97" s="2" t="s">
        <v>11</v>
      </c>
      <c r="D97" s="2" t="s">
        <v>23</v>
      </c>
      <c r="E97" s="2" t="s">
        <v>19</v>
      </c>
      <c r="F97" s="3">
        <v>3</v>
      </c>
      <c r="G97" s="3">
        <v>300</v>
      </c>
      <c r="H97" s="9">
        <f t="shared" si="1"/>
        <v>900</v>
      </c>
    </row>
    <row r="98" spans="1:8" x14ac:dyDescent="0.3">
      <c r="A98" s="13">
        <v>97</v>
      </c>
      <c r="B98" s="1">
        <v>44293</v>
      </c>
      <c r="C98" s="2" t="s">
        <v>14</v>
      </c>
      <c r="D98" s="2" t="s">
        <v>23</v>
      </c>
      <c r="E98" s="2" t="s">
        <v>19</v>
      </c>
      <c r="F98" s="3">
        <v>3</v>
      </c>
      <c r="G98" s="3">
        <v>300</v>
      </c>
      <c r="H98" s="9">
        <f t="shared" si="1"/>
        <v>900</v>
      </c>
    </row>
    <row r="99" spans="1:8" x14ac:dyDescent="0.3">
      <c r="A99" s="13">
        <v>98</v>
      </c>
      <c r="B99" s="1">
        <v>44294</v>
      </c>
      <c r="C99" s="2" t="s">
        <v>16</v>
      </c>
      <c r="D99" s="2" t="s">
        <v>23</v>
      </c>
      <c r="E99" s="2" t="s">
        <v>19</v>
      </c>
      <c r="F99" s="3">
        <v>3</v>
      </c>
      <c r="G99" s="3">
        <v>300</v>
      </c>
      <c r="H99" s="9">
        <f t="shared" si="1"/>
        <v>900</v>
      </c>
    </row>
    <row r="100" spans="1:8" x14ac:dyDescent="0.3">
      <c r="A100" s="13">
        <v>99</v>
      </c>
      <c r="B100" s="1">
        <v>44295</v>
      </c>
      <c r="C100" s="2" t="s">
        <v>18</v>
      </c>
      <c r="D100" s="2" t="s">
        <v>23</v>
      </c>
      <c r="E100" s="2" t="s">
        <v>10</v>
      </c>
      <c r="F100" s="3">
        <v>3</v>
      </c>
      <c r="G100" s="3">
        <v>190</v>
      </c>
      <c r="H100" s="9">
        <f t="shared" si="1"/>
        <v>570</v>
      </c>
    </row>
    <row r="101" spans="1:8" x14ac:dyDescent="0.3">
      <c r="A101" s="13">
        <v>100</v>
      </c>
      <c r="B101" s="1">
        <v>44296</v>
      </c>
      <c r="C101" s="2" t="s">
        <v>20</v>
      </c>
      <c r="D101" s="2" t="s">
        <v>23</v>
      </c>
      <c r="E101" s="2" t="s">
        <v>13</v>
      </c>
      <c r="F101" s="3">
        <v>2</v>
      </c>
      <c r="G101" s="3">
        <v>2100</v>
      </c>
      <c r="H101" s="9">
        <f t="shared" si="1"/>
        <v>4200</v>
      </c>
    </row>
    <row r="102" spans="1:8" x14ac:dyDescent="0.3">
      <c r="A102" s="13">
        <v>101</v>
      </c>
      <c r="B102" s="1">
        <v>44297</v>
      </c>
      <c r="C102" s="2" t="s">
        <v>20</v>
      </c>
      <c r="D102" s="2" t="s">
        <v>9</v>
      </c>
      <c r="E102" s="2" t="s">
        <v>10</v>
      </c>
      <c r="F102" s="3">
        <v>7</v>
      </c>
      <c r="G102" s="3">
        <v>210</v>
      </c>
      <c r="H102" s="9">
        <f t="shared" si="1"/>
        <v>1470</v>
      </c>
    </row>
    <row r="103" spans="1:8" x14ac:dyDescent="0.3">
      <c r="A103" s="13">
        <v>102</v>
      </c>
      <c r="B103" s="1">
        <v>44298</v>
      </c>
      <c r="C103" s="2" t="s">
        <v>20</v>
      </c>
      <c r="D103" s="2" t="s">
        <v>12</v>
      </c>
      <c r="E103" s="2" t="s">
        <v>13</v>
      </c>
      <c r="F103" s="3">
        <v>6</v>
      </c>
      <c r="G103" s="3">
        <v>2100</v>
      </c>
      <c r="H103" s="9">
        <f t="shared" si="1"/>
        <v>12600</v>
      </c>
    </row>
    <row r="104" spans="1:8" x14ac:dyDescent="0.3">
      <c r="A104" s="13">
        <v>103</v>
      </c>
      <c r="B104" s="1">
        <v>44299</v>
      </c>
      <c r="C104" s="2" t="s">
        <v>20</v>
      </c>
      <c r="D104" s="2" t="s">
        <v>22</v>
      </c>
      <c r="E104" s="2" t="s">
        <v>15</v>
      </c>
      <c r="F104" s="3">
        <v>5</v>
      </c>
      <c r="G104" s="3">
        <v>1200</v>
      </c>
      <c r="H104" s="9">
        <f t="shared" si="1"/>
        <v>6000</v>
      </c>
    </row>
    <row r="105" spans="1:8" x14ac:dyDescent="0.3">
      <c r="A105" s="13">
        <v>104</v>
      </c>
      <c r="B105" s="1">
        <v>44300</v>
      </c>
      <c r="C105" s="2" t="s">
        <v>20</v>
      </c>
      <c r="D105" s="2" t="s">
        <v>23</v>
      </c>
      <c r="E105" s="2" t="s">
        <v>13</v>
      </c>
      <c r="F105" s="3">
        <v>6</v>
      </c>
      <c r="G105" s="3">
        <v>2100</v>
      </c>
      <c r="H105" s="9">
        <f t="shared" si="1"/>
        <v>12600</v>
      </c>
    </row>
    <row r="106" spans="1:8" x14ac:dyDescent="0.3">
      <c r="A106" s="13">
        <v>105</v>
      </c>
      <c r="B106" s="1">
        <v>44301</v>
      </c>
      <c r="C106" s="2" t="s">
        <v>20</v>
      </c>
      <c r="D106" s="2" t="s">
        <v>9</v>
      </c>
      <c r="E106" s="2" t="s">
        <v>15</v>
      </c>
      <c r="F106" s="3">
        <v>5</v>
      </c>
      <c r="G106" s="3">
        <v>1200</v>
      </c>
      <c r="H106" s="9">
        <f t="shared" si="1"/>
        <v>6000</v>
      </c>
    </row>
    <row r="107" spans="1:8" x14ac:dyDescent="0.3">
      <c r="A107" s="13">
        <v>106</v>
      </c>
      <c r="B107" s="1">
        <v>44302</v>
      </c>
      <c r="C107" s="2" t="s">
        <v>20</v>
      </c>
      <c r="D107" s="2" t="s">
        <v>12</v>
      </c>
      <c r="E107" s="2" t="s">
        <v>21</v>
      </c>
      <c r="F107" s="3">
        <v>2</v>
      </c>
      <c r="G107" s="3">
        <v>190</v>
      </c>
      <c r="H107" s="9">
        <f t="shared" si="1"/>
        <v>380</v>
      </c>
    </row>
    <row r="108" spans="1:8" x14ac:dyDescent="0.3">
      <c r="A108" s="13">
        <v>107</v>
      </c>
      <c r="B108" s="1">
        <v>44303</v>
      </c>
      <c r="C108" s="2" t="s">
        <v>20</v>
      </c>
      <c r="D108" s="2" t="s">
        <v>22</v>
      </c>
      <c r="E108" s="2" t="s">
        <v>13</v>
      </c>
      <c r="F108" s="3">
        <v>6</v>
      </c>
      <c r="G108" s="3">
        <v>2100</v>
      </c>
      <c r="H108" s="9">
        <f t="shared" si="1"/>
        <v>12600</v>
      </c>
    </row>
    <row r="109" spans="1:8" x14ac:dyDescent="0.3">
      <c r="A109" s="13">
        <v>108</v>
      </c>
      <c r="B109" s="1">
        <v>44304</v>
      </c>
      <c r="C109" s="2" t="s">
        <v>20</v>
      </c>
      <c r="D109" s="2" t="s">
        <v>23</v>
      </c>
      <c r="E109" s="2" t="s">
        <v>15</v>
      </c>
      <c r="F109" s="3">
        <v>5</v>
      </c>
      <c r="G109" s="3">
        <v>1200</v>
      </c>
      <c r="H109" s="9">
        <f t="shared" si="1"/>
        <v>6000</v>
      </c>
    </row>
    <row r="110" spans="1:8" x14ac:dyDescent="0.3">
      <c r="A110" s="13">
        <v>109</v>
      </c>
      <c r="B110" s="1">
        <v>44305</v>
      </c>
      <c r="C110" s="2" t="s">
        <v>8</v>
      </c>
      <c r="D110" s="2" t="s">
        <v>9</v>
      </c>
      <c r="E110" s="2" t="s">
        <v>13</v>
      </c>
      <c r="F110" s="3">
        <v>6</v>
      </c>
      <c r="G110" s="3">
        <v>2100</v>
      </c>
      <c r="H110" s="9">
        <f t="shared" si="1"/>
        <v>12600</v>
      </c>
    </row>
    <row r="111" spans="1:8" x14ac:dyDescent="0.3">
      <c r="A111" s="13">
        <v>110</v>
      </c>
      <c r="B111" s="1">
        <v>44306</v>
      </c>
      <c r="C111" s="2" t="s">
        <v>11</v>
      </c>
      <c r="D111" s="2" t="s">
        <v>12</v>
      </c>
      <c r="E111" s="2" t="s">
        <v>15</v>
      </c>
      <c r="F111" s="3">
        <v>5</v>
      </c>
      <c r="G111" s="3">
        <v>1200</v>
      </c>
      <c r="H111" s="9">
        <f t="shared" si="1"/>
        <v>6000</v>
      </c>
    </row>
    <row r="112" spans="1:8" x14ac:dyDescent="0.3">
      <c r="A112" s="13">
        <v>111</v>
      </c>
      <c r="B112" s="1">
        <v>44307</v>
      </c>
      <c r="C112" s="2" t="s">
        <v>14</v>
      </c>
      <c r="D112" s="2" t="s">
        <v>9</v>
      </c>
      <c r="E112" s="2" t="s">
        <v>13</v>
      </c>
      <c r="F112" s="3">
        <v>6</v>
      </c>
      <c r="G112" s="3">
        <v>2100</v>
      </c>
      <c r="H112" s="9">
        <f t="shared" si="1"/>
        <v>12600</v>
      </c>
    </row>
    <row r="113" spans="1:8" x14ac:dyDescent="0.3">
      <c r="A113" s="13">
        <v>112</v>
      </c>
      <c r="B113" s="1">
        <v>44308</v>
      </c>
      <c r="C113" s="2" t="s">
        <v>16</v>
      </c>
      <c r="D113" s="2" t="s">
        <v>12</v>
      </c>
      <c r="E113" s="2" t="s">
        <v>15</v>
      </c>
      <c r="F113" s="3">
        <v>5</v>
      </c>
      <c r="G113" s="3">
        <v>1200</v>
      </c>
      <c r="H113" s="9">
        <f t="shared" si="1"/>
        <v>6000</v>
      </c>
    </row>
    <row r="114" spans="1:8" x14ac:dyDescent="0.3">
      <c r="A114" s="13">
        <v>113</v>
      </c>
      <c r="B114" s="1">
        <v>44309</v>
      </c>
      <c r="C114" s="2" t="s">
        <v>18</v>
      </c>
      <c r="D114" s="2" t="s">
        <v>9</v>
      </c>
      <c r="E114" s="2" t="s">
        <v>10</v>
      </c>
      <c r="F114" s="3">
        <v>2</v>
      </c>
      <c r="G114" s="3">
        <v>210</v>
      </c>
      <c r="H114" s="9">
        <f t="shared" si="1"/>
        <v>420</v>
      </c>
    </row>
    <row r="115" spans="1:8" x14ac:dyDescent="0.3">
      <c r="A115" s="13">
        <v>114</v>
      </c>
      <c r="B115" s="1">
        <v>44310</v>
      </c>
      <c r="C115" s="2" t="s">
        <v>20</v>
      </c>
      <c r="D115" s="2" t="s">
        <v>9</v>
      </c>
      <c r="E115" s="2" t="s">
        <v>13</v>
      </c>
      <c r="F115" s="3">
        <v>7</v>
      </c>
      <c r="G115" s="3">
        <v>2100</v>
      </c>
      <c r="H115" s="9">
        <f t="shared" si="1"/>
        <v>14700</v>
      </c>
    </row>
    <row r="116" spans="1:8" x14ac:dyDescent="0.3">
      <c r="A116" s="13">
        <v>115</v>
      </c>
      <c r="B116" s="1">
        <v>44311</v>
      </c>
      <c r="C116" s="2" t="s">
        <v>8</v>
      </c>
      <c r="D116" s="2" t="s">
        <v>9</v>
      </c>
      <c r="E116" s="2" t="s">
        <v>15</v>
      </c>
      <c r="F116" s="3">
        <v>6</v>
      </c>
      <c r="G116" s="3">
        <v>1200</v>
      </c>
      <c r="H116" s="9">
        <f t="shared" si="1"/>
        <v>7200</v>
      </c>
    </row>
    <row r="117" spans="1:8" x14ac:dyDescent="0.3">
      <c r="A117" s="13">
        <v>116</v>
      </c>
      <c r="B117" s="1">
        <v>44312</v>
      </c>
      <c r="C117" s="2" t="s">
        <v>11</v>
      </c>
      <c r="D117" s="2" t="s">
        <v>12</v>
      </c>
      <c r="E117" s="2" t="s">
        <v>17</v>
      </c>
      <c r="F117" s="3">
        <v>5</v>
      </c>
      <c r="G117" s="3">
        <v>1500</v>
      </c>
      <c r="H117" s="9">
        <f t="shared" si="1"/>
        <v>7500</v>
      </c>
    </row>
    <row r="118" spans="1:8" x14ac:dyDescent="0.3">
      <c r="A118" s="13">
        <v>117</v>
      </c>
      <c r="B118" s="1">
        <v>44313</v>
      </c>
      <c r="C118" s="2" t="s">
        <v>14</v>
      </c>
      <c r="D118" s="2" t="s">
        <v>12</v>
      </c>
      <c r="E118" s="2" t="s">
        <v>19</v>
      </c>
      <c r="F118" s="3">
        <v>4</v>
      </c>
      <c r="G118" s="3">
        <v>300</v>
      </c>
      <c r="H118" s="9">
        <f t="shared" si="1"/>
        <v>1200</v>
      </c>
    </row>
    <row r="119" spans="1:8" x14ac:dyDescent="0.3">
      <c r="A119" s="13">
        <v>118</v>
      </c>
      <c r="B119" s="1">
        <v>44314</v>
      </c>
      <c r="C119" s="2" t="s">
        <v>16</v>
      </c>
      <c r="D119" s="2" t="s">
        <v>9</v>
      </c>
      <c r="E119" s="2" t="s">
        <v>21</v>
      </c>
      <c r="F119" s="3">
        <v>3</v>
      </c>
      <c r="G119" s="3">
        <v>190</v>
      </c>
      <c r="H119" s="9">
        <f t="shared" si="1"/>
        <v>570</v>
      </c>
    </row>
    <row r="120" spans="1:8" x14ac:dyDescent="0.3">
      <c r="A120" s="13">
        <v>119</v>
      </c>
      <c r="B120" s="1">
        <v>44315</v>
      </c>
      <c r="C120" s="2" t="s">
        <v>18</v>
      </c>
      <c r="D120" s="2" t="s">
        <v>9</v>
      </c>
      <c r="E120" s="2" t="s">
        <v>10</v>
      </c>
      <c r="F120" s="3">
        <v>2</v>
      </c>
      <c r="G120" s="3">
        <v>210</v>
      </c>
      <c r="H120" s="9">
        <f t="shared" si="1"/>
        <v>420</v>
      </c>
    </row>
    <row r="121" spans="1:8" x14ac:dyDescent="0.3">
      <c r="A121" s="13">
        <v>120</v>
      </c>
      <c r="B121" s="1">
        <v>44316</v>
      </c>
      <c r="C121" s="2" t="s">
        <v>20</v>
      </c>
      <c r="D121" s="2" t="s">
        <v>12</v>
      </c>
      <c r="E121" s="2" t="s">
        <v>15</v>
      </c>
      <c r="F121" s="3">
        <v>7</v>
      </c>
      <c r="G121" s="3">
        <v>2100</v>
      </c>
      <c r="H121" s="9">
        <f t="shared" si="1"/>
        <v>14700</v>
      </c>
    </row>
    <row r="122" spans="1:8" x14ac:dyDescent="0.3">
      <c r="A122" s="13">
        <v>121</v>
      </c>
      <c r="B122" s="1">
        <v>44317</v>
      </c>
      <c r="C122" s="2" t="s">
        <v>20</v>
      </c>
      <c r="D122" s="2" t="s">
        <v>9</v>
      </c>
      <c r="E122" s="2" t="s">
        <v>17</v>
      </c>
      <c r="F122" s="3">
        <v>6</v>
      </c>
      <c r="G122" s="3">
        <v>1200</v>
      </c>
      <c r="H122" s="9">
        <f t="shared" si="1"/>
        <v>7200</v>
      </c>
    </row>
    <row r="123" spans="1:8" x14ac:dyDescent="0.3">
      <c r="A123" s="13">
        <v>122</v>
      </c>
      <c r="B123" s="1">
        <v>44318</v>
      </c>
      <c r="C123" s="2" t="s">
        <v>8</v>
      </c>
      <c r="D123" s="2" t="s">
        <v>9</v>
      </c>
      <c r="E123" s="2" t="s">
        <v>19</v>
      </c>
      <c r="F123" s="3">
        <v>5</v>
      </c>
      <c r="G123" s="3">
        <v>300</v>
      </c>
      <c r="H123" s="9">
        <f t="shared" si="1"/>
        <v>1500</v>
      </c>
    </row>
    <row r="124" spans="1:8" x14ac:dyDescent="0.3">
      <c r="A124" s="13">
        <v>123</v>
      </c>
      <c r="B124" s="1">
        <v>44319</v>
      </c>
      <c r="C124" s="2" t="s">
        <v>11</v>
      </c>
      <c r="D124" s="2" t="s">
        <v>9</v>
      </c>
      <c r="E124" s="2" t="s">
        <v>21</v>
      </c>
      <c r="F124" s="3">
        <v>4</v>
      </c>
      <c r="G124" s="3">
        <v>200</v>
      </c>
      <c r="H124" s="9">
        <f t="shared" si="1"/>
        <v>800</v>
      </c>
    </row>
    <row r="125" spans="1:8" x14ac:dyDescent="0.3">
      <c r="A125" s="13">
        <v>124</v>
      </c>
      <c r="B125" s="1">
        <v>44320</v>
      </c>
      <c r="C125" s="2" t="s">
        <v>14</v>
      </c>
      <c r="D125" s="2" t="s">
        <v>9</v>
      </c>
      <c r="E125" s="2" t="s">
        <v>10</v>
      </c>
      <c r="F125" s="3">
        <v>3</v>
      </c>
      <c r="G125" s="3">
        <v>190</v>
      </c>
      <c r="H125" s="9">
        <f t="shared" si="1"/>
        <v>570</v>
      </c>
    </row>
    <row r="126" spans="1:8" x14ac:dyDescent="0.3">
      <c r="A126" s="13">
        <v>125</v>
      </c>
      <c r="B126" s="1">
        <v>44321</v>
      </c>
      <c r="C126" s="2" t="s">
        <v>16</v>
      </c>
      <c r="D126" s="2" t="s">
        <v>9</v>
      </c>
      <c r="E126" s="2" t="s">
        <v>13</v>
      </c>
      <c r="F126" s="3">
        <v>2</v>
      </c>
      <c r="G126" s="3">
        <v>2100</v>
      </c>
      <c r="H126" s="9">
        <f t="shared" si="1"/>
        <v>4200</v>
      </c>
    </row>
    <row r="127" spans="1:8" x14ac:dyDescent="0.3">
      <c r="A127" s="13">
        <v>126</v>
      </c>
      <c r="B127" s="1">
        <v>44322</v>
      </c>
      <c r="C127" s="2" t="s">
        <v>18</v>
      </c>
      <c r="D127" s="2" t="s">
        <v>9</v>
      </c>
      <c r="E127" s="2" t="s">
        <v>10</v>
      </c>
      <c r="F127" s="3">
        <v>7</v>
      </c>
      <c r="G127" s="3">
        <v>210</v>
      </c>
      <c r="H127" s="9">
        <f t="shared" si="1"/>
        <v>1470</v>
      </c>
    </row>
    <row r="128" spans="1:8" x14ac:dyDescent="0.3">
      <c r="A128" s="13">
        <v>127</v>
      </c>
      <c r="B128" s="1">
        <v>44323</v>
      </c>
      <c r="C128" s="2" t="s">
        <v>20</v>
      </c>
      <c r="D128" s="2" t="s">
        <v>9</v>
      </c>
      <c r="E128" s="2" t="s">
        <v>13</v>
      </c>
      <c r="F128" s="3">
        <v>6</v>
      </c>
      <c r="G128" s="3">
        <v>2100</v>
      </c>
      <c r="H128" s="9">
        <f t="shared" si="1"/>
        <v>12600</v>
      </c>
    </row>
    <row r="129" spans="1:8" x14ac:dyDescent="0.3">
      <c r="A129" s="13">
        <v>128</v>
      </c>
      <c r="B129" s="1">
        <v>44324</v>
      </c>
      <c r="C129" s="2" t="s">
        <v>8</v>
      </c>
      <c r="D129" s="2" t="s">
        <v>9</v>
      </c>
      <c r="E129" s="2" t="s">
        <v>15</v>
      </c>
      <c r="F129" s="3">
        <v>5</v>
      </c>
      <c r="G129" s="3">
        <v>1200</v>
      </c>
      <c r="H129" s="9">
        <f t="shared" si="1"/>
        <v>6000</v>
      </c>
    </row>
    <row r="130" spans="1:8" x14ac:dyDescent="0.3">
      <c r="A130" s="13">
        <v>129</v>
      </c>
      <c r="B130" s="1">
        <v>44325</v>
      </c>
      <c r="C130" s="2" t="s">
        <v>11</v>
      </c>
      <c r="D130" s="2" t="s">
        <v>12</v>
      </c>
      <c r="E130" s="2" t="s">
        <v>17</v>
      </c>
      <c r="F130" s="3">
        <v>4</v>
      </c>
      <c r="G130" s="3">
        <v>1500</v>
      </c>
      <c r="H130" s="9">
        <f t="shared" si="1"/>
        <v>6000</v>
      </c>
    </row>
    <row r="131" spans="1:8" x14ac:dyDescent="0.3">
      <c r="A131" s="13">
        <v>130</v>
      </c>
      <c r="B131" s="1">
        <v>44326</v>
      </c>
      <c r="C131" s="2" t="s">
        <v>14</v>
      </c>
      <c r="D131" s="2" t="s">
        <v>9</v>
      </c>
      <c r="E131" s="2" t="s">
        <v>19</v>
      </c>
      <c r="F131" s="3">
        <v>3</v>
      </c>
      <c r="G131" s="3">
        <v>300</v>
      </c>
      <c r="H131" s="9">
        <f t="shared" ref="H131:H194" si="2">F131*G131</f>
        <v>900</v>
      </c>
    </row>
    <row r="132" spans="1:8" x14ac:dyDescent="0.3">
      <c r="A132" s="13">
        <v>131</v>
      </c>
      <c r="B132" s="1">
        <v>44327</v>
      </c>
      <c r="C132" s="2" t="s">
        <v>16</v>
      </c>
      <c r="D132" s="2" t="s">
        <v>12</v>
      </c>
      <c r="E132" s="2" t="s">
        <v>21</v>
      </c>
      <c r="F132" s="3">
        <v>2</v>
      </c>
      <c r="G132" s="3">
        <v>190</v>
      </c>
      <c r="H132" s="9">
        <f t="shared" si="2"/>
        <v>380</v>
      </c>
    </row>
    <row r="133" spans="1:8" x14ac:dyDescent="0.3">
      <c r="A133" s="13">
        <v>132</v>
      </c>
      <c r="B133" s="1">
        <v>44328</v>
      </c>
      <c r="C133" s="2" t="s">
        <v>18</v>
      </c>
      <c r="D133" s="2" t="s">
        <v>9</v>
      </c>
      <c r="E133" s="2" t="s">
        <v>10</v>
      </c>
      <c r="F133" s="3">
        <v>7</v>
      </c>
      <c r="G133" s="3">
        <v>210</v>
      </c>
      <c r="H133" s="9">
        <f t="shared" si="2"/>
        <v>1470</v>
      </c>
    </row>
    <row r="134" spans="1:8" x14ac:dyDescent="0.3">
      <c r="A134" s="13">
        <v>133</v>
      </c>
      <c r="B134" s="1">
        <v>44329</v>
      </c>
      <c r="C134" s="2" t="s">
        <v>20</v>
      </c>
      <c r="D134" s="2" t="s">
        <v>9</v>
      </c>
      <c r="E134" s="2" t="s">
        <v>13</v>
      </c>
      <c r="F134" s="3">
        <v>6</v>
      </c>
      <c r="G134" s="3">
        <v>2100</v>
      </c>
      <c r="H134" s="9">
        <f t="shared" si="2"/>
        <v>12600</v>
      </c>
    </row>
    <row r="135" spans="1:8" x14ac:dyDescent="0.3">
      <c r="A135" s="13">
        <v>134</v>
      </c>
      <c r="B135" s="1">
        <v>44330</v>
      </c>
      <c r="C135" s="2" t="s">
        <v>20</v>
      </c>
      <c r="D135" s="2" t="s">
        <v>9</v>
      </c>
      <c r="E135" s="2" t="s">
        <v>15</v>
      </c>
      <c r="F135" s="3">
        <v>5</v>
      </c>
      <c r="G135" s="3">
        <v>1200</v>
      </c>
      <c r="H135" s="9">
        <f t="shared" si="2"/>
        <v>6000</v>
      </c>
    </row>
    <row r="136" spans="1:8" x14ac:dyDescent="0.3">
      <c r="A136" s="13">
        <v>135</v>
      </c>
      <c r="B136" s="1">
        <v>44331</v>
      </c>
      <c r="C136" s="2" t="s">
        <v>8</v>
      </c>
      <c r="D136" s="2" t="s">
        <v>9</v>
      </c>
      <c r="E136" s="2" t="s">
        <v>17</v>
      </c>
      <c r="F136" s="3">
        <v>4</v>
      </c>
      <c r="G136" s="3">
        <v>1500</v>
      </c>
      <c r="H136" s="9">
        <f t="shared" si="2"/>
        <v>6000</v>
      </c>
    </row>
    <row r="137" spans="1:8" x14ac:dyDescent="0.3">
      <c r="A137" s="13">
        <v>136</v>
      </c>
      <c r="B137" s="1">
        <v>44332</v>
      </c>
      <c r="C137" s="2" t="s">
        <v>8</v>
      </c>
      <c r="D137" s="2" t="s">
        <v>12</v>
      </c>
      <c r="E137" s="2" t="s">
        <v>19</v>
      </c>
      <c r="F137" s="3">
        <v>3</v>
      </c>
      <c r="G137" s="3">
        <v>300</v>
      </c>
      <c r="H137" s="9">
        <f t="shared" si="2"/>
        <v>900</v>
      </c>
    </row>
    <row r="138" spans="1:8" x14ac:dyDescent="0.3">
      <c r="A138" s="13">
        <v>137</v>
      </c>
      <c r="B138" s="1">
        <v>44333</v>
      </c>
      <c r="C138" s="2" t="s">
        <v>8</v>
      </c>
      <c r="D138" s="2" t="s">
        <v>22</v>
      </c>
      <c r="E138" s="2" t="s">
        <v>21</v>
      </c>
      <c r="F138" s="3">
        <v>2</v>
      </c>
      <c r="G138" s="3">
        <v>190</v>
      </c>
      <c r="H138" s="9">
        <f t="shared" si="2"/>
        <v>380</v>
      </c>
    </row>
    <row r="139" spans="1:8" x14ac:dyDescent="0.3">
      <c r="A139" s="13">
        <v>138</v>
      </c>
      <c r="B139" s="1">
        <v>44334</v>
      </c>
      <c r="C139" s="2" t="s">
        <v>8</v>
      </c>
      <c r="D139" s="2" t="s">
        <v>23</v>
      </c>
      <c r="E139" s="2" t="s">
        <v>10</v>
      </c>
      <c r="F139" s="3">
        <v>2</v>
      </c>
      <c r="G139" s="3">
        <v>210</v>
      </c>
      <c r="H139" s="9">
        <f t="shared" si="2"/>
        <v>420</v>
      </c>
    </row>
    <row r="140" spans="1:8" x14ac:dyDescent="0.3">
      <c r="A140" s="13">
        <v>139</v>
      </c>
      <c r="B140" s="1">
        <v>44335</v>
      </c>
      <c r="C140" s="2" t="s">
        <v>8</v>
      </c>
      <c r="D140" s="2" t="s">
        <v>9</v>
      </c>
      <c r="E140" s="2" t="s">
        <v>13</v>
      </c>
      <c r="F140" s="3">
        <v>7</v>
      </c>
      <c r="G140" s="3">
        <v>2100</v>
      </c>
      <c r="H140" s="9">
        <f t="shared" si="2"/>
        <v>14700</v>
      </c>
    </row>
    <row r="141" spans="1:8" x14ac:dyDescent="0.3">
      <c r="A141" s="13">
        <v>140</v>
      </c>
      <c r="B141" s="1">
        <v>44336</v>
      </c>
      <c r="C141" s="2" t="s">
        <v>8</v>
      </c>
      <c r="D141" s="2" t="s">
        <v>12</v>
      </c>
      <c r="E141" s="2" t="s">
        <v>15</v>
      </c>
      <c r="F141" s="3">
        <v>6</v>
      </c>
      <c r="G141" s="3">
        <v>1200</v>
      </c>
      <c r="H141" s="9">
        <f t="shared" si="2"/>
        <v>7200</v>
      </c>
    </row>
    <row r="142" spans="1:8" x14ac:dyDescent="0.3">
      <c r="A142" s="13">
        <v>141</v>
      </c>
      <c r="B142" s="1">
        <v>44337</v>
      </c>
      <c r="C142" s="2" t="s">
        <v>8</v>
      </c>
      <c r="D142" s="2" t="s">
        <v>22</v>
      </c>
      <c r="E142" s="2" t="s">
        <v>17</v>
      </c>
      <c r="F142" s="3">
        <v>5</v>
      </c>
      <c r="G142" s="3">
        <v>1500</v>
      </c>
      <c r="H142" s="9">
        <f t="shared" si="2"/>
        <v>7500</v>
      </c>
    </row>
    <row r="143" spans="1:8" x14ac:dyDescent="0.3">
      <c r="A143" s="13">
        <v>142</v>
      </c>
      <c r="B143" s="1">
        <v>44338</v>
      </c>
      <c r="C143" s="2" t="s">
        <v>8</v>
      </c>
      <c r="D143" s="2" t="s">
        <v>23</v>
      </c>
      <c r="E143" s="2" t="s">
        <v>19</v>
      </c>
      <c r="F143" s="3">
        <v>4</v>
      </c>
      <c r="G143" s="3">
        <v>300</v>
      </c>
      <c r="H143" s="9">
        <f t="shared" si="2"/>
        <v>1200</v>
      </c>
    </row>
    <row r="144" spans="1:8" x14ac:dyDescent="0.3">
      <c r="A144" s="13">
        <v>143</v>
      </c>
      <c r="B144" s="1">
        <v>44339</v>
      </c>
      <c r="C144" s="2" t="s">
        <v>11</v>
      </c>
      <c r="D144" s="2" t="s">
        <v>12</v>
      </c>
      <c r="E144" s="2" t="s">
        <v>21</v>
      </c>
      <c r="F144" s="3">
        <v>3</v>
      </c>
      <c r="G144" s="3">
        <v>190</v>
      </c>
      <c r="H144" s="9">
        <f t="shared" si="2"/>
        <v>570</v>
      </c>
    </row>
    <row r="145" spans="1:8" x14ac:dyDescent="0.3">
      <c r="A145" s="13">
        <v>144</v>
      </c>
      <c r="B145" s="1">
        <v>44340</v>
      </c>
      <c r="C145" s="2" t="s">
        <v>11</v>
      </c>
      <c r="D145" s="2" t="s">
        <v>9</v>
      </c>
      <c r="E145" s="2" t="s">
        <v>19</v>
      </c>
      <c r="F145" s="3">
        <v>4</v>
      </c>
      <c r="G145" s="3">
        <v>300</v>
      </c>
      <c r="H145" s="9">
        <f t="shared" si="2"/>
        <v>1200</v>
      </c>
    </row>
    <row r="146" spans="1:8" x14ac:dyDescent="0.3">
      <c r="A146" s="13">
        <v>145</v>
      </c>
      <c r="B146" s="1">
        <v>44341</v>
      </c>
      <c r="C146" s="2" t="s">
        <v>11</v>
      </c>
      <c r="D146" s="2" t="s">
        <v>22</v>
      </c>
      <c r="E146" s="2" t="s">
        <v>19</v>
      </c>
      <c r="F146" s="3">
        <v>4</v>
      </c>
      <c r="G146" s="3">
        <v>300</v>
      </c>
      <c r="H146" s="9">
        <f t="shared" si="2"/>
        <v>1200</v>
      </c>
    </row>
    <row r="147" spans="1:8" x14ac:dyDescent="0.3">
      <c r="A147" s="13">
        <v>146</v>
      </c>
      <c r="B147" s="1">
        <v>44342</v>
      </c>
      <c r="C147" s="2" t="s">
        <v>11</v>
      </c>
      <c r="D147" s="2" t="s">
        <v>23</v>
      </c>
      <c r="E147" s="2" t="s">
        <v>19</v>
      </c>
      <c r="F147" s="3">
        <v>4</v>
      </c>
      <c r="G147" s="3">
        <v>300</v>
      </c>
      <c r="H147" s="9">
        <f t="shared" si="2"/>
        <v>1200</v>
      </c>
    </row>
    <row r="148" spans="1:8" x14ac:dyDescent="0.3">
      <c r="A148" s="13">
        <v>147</v>
      </c>
      <c r="B148" s="1">
        <v>44343</v>
      </c>
      <c r="C148" s="2" t="s">
        <v>11</v>
      </c>
      <c r="D148" s="2" t="s">
        <v>12</v>
      </c>
      <c r="E148" s="2" t="s">
        <v>19</v>
      </c>
      <c r="F148" s="3">
        <v>4</v>
      </c>
      <c r="G148" s="3">
        <v>300</v>
      </c>
      <c r="H148" s="9">
        <f t="shared" si="2"/>
        <v>1200</v>
      </c>
    </row>
    <row r="149" spans="1:8" x14ac:dyDescent="0.3">
      <c r="A149" s="13">
        <v>148</v>
      </c>
      <c r="B149" s="1">
        <v>44344</v>
      </c>
      <c r="C149" s="2" t="s">
        <v>11</v>
      </c>
      <c r="D149" s="2" t="s">
        <v>9</v>
      </c>
      <c r="E149" s="2" t="s">
        <v>19</v>
      </c>
      <c r="F149" s="3">
        <v>4</v>
      </c>
      <c r="G149" s="3">
        <v>300</v>
      </c>
      <c r="H149" s="9">
        <f t="shared" si="2"/>
        <v>1200</v>
      </c>
    </row>
    <row r="150" spans="1:8" x14ac:dyDescent="0.3">
      <c r="A150" s="13">
        <v>149</v>
      </c>
      <c r="B150" s="1">
        <v>44345</v>
      </c>
      <c r="C150" s="2" t="s">
        <v>11</v>
      </c>
      <c r="D150" s="2" t="s">
        <v>22</v>
      </c>
      <c r="E150" s="2" t="s">
        <v>19</v>
      </c>
      <c r="F150" s="3">
        <v>4</v>
      </c>
      <c r="G150" s="3">
        <v>300</v>
      </c>
      <c r="H150" s="9">
        <f t="shared" si="2"/>
        <v>1200</v>
      </c>
    </row>
    <row r="151" spans="1:8" x14ac:dyDescent="0.3">
      <c r="A151" s="13">
        <v>150</v>
      </c>
      <c r="B151" s="1">
        <v>44346</v>
      </c>
      <c r="C151" s="2" t="s">
        <v>11</v>
      </c>
      <c r="D151" s="2" t="s">
        <v>23</v>
      </c>
      <c r="E151" s="2" t="s">
        <v>19</v>
      </c>
      <c r="F151" s="3">
        <v>4</v>
      </c>
      <c r="G151" s="3">
        <v>300</v>
      </c>
      <c r="H151" s="9">
        <f t="shared" si="2"/>
        <v>1200</v>
      </c>
    </row>
    <row r="152" spans="1:8" x14ac:dyDescent="0.3">
      <c r="A152" s="13">
        <v>151</v>
      </c>
      <c r="B152" s="1">
        <v>44347</v>
      </c>
      <c r="C152" s="2" t="s">
        <v>14</v>
      </c>
      <c r="D152" s="2" t="s">
        <v>23</v>
      </c>
      <c r="E152" s="2" t="s">
        <v>19</v>
      </c>
      <c r="F152" s="3">
        <v>4</v>
      </c>
      <c r="G152" s="3">
        <v>300</v>
      </c>
      <c r="H152" s="9">
        <f t="shared" si="2"/>
        <v>1200</v>
      </c>
    </row>
    <row r="153" spans="1:8" x14ac:dyDescent="0.3">
      <c r="A153" s="13">
        <v>152</v>
      </c>
      <c r="B153" s="1">
        <v>44348</v>
      </c>
      <c r="C153" s="2" t="s">
        <v>16</v>
      </c>
      <c r="D153" s="2" t="s">
        <v>23</v>
      </c>
      <c r="E153" s="2" t="s">
        <v>13</v>
      </c>
      <c r="F153" s="3">
        <v>6</v>
      </c>
      <c r="G153" s="3">
        <v>2100</v>
      </c>
      <c r="H153" s="9">
        <f t="shared" si="2"/>
        <v>12600</v>
      </c>
    </row>
    <row r="154" spans="1:8" x14ac:dyDescent="0.3">
      <c r="A154" s="13">
        <v>153</v>
      </c>
      <c r="B154" s="1">
        <v>44349</v>
      </c>
      <c r="C154" s="2" t="s">
        <v>18</v>
      </c>
      <c r="D154" s="2" t="s">
        <v>23</v>
      </c>
      <c r="E154" s="2" t="s">
        <v>15</v>
      </c>
      <c r="F154" s="3">
        <v>5</v>
      </c>
      <c r="G154" s="3">
        <v>1200</v>
      </c>
      <c r="H154" s="9">
        <f t="shared" si="2"/>
        <v>6000</v>
      </c>
    </row>
    <row r="155" spans="1:8" x14ac:dyDescent="0.3">
      <c r="A155" s="13">
        <v>154</v>
      </c>
      <c r="B155" s="1">
        <v>44350</v>
      </c>
      <c r="C155" s="2" t="s">
        <v>20</v>
      </c>
      <c r="D155" s="2" t="s">
        <v>23</v>
      </c>
      <c r="E155" s="2" t="s">
        <v>17</v>
      </c>
      <c r="F155" s="3">
        <v>4</v>
      </c>
      <c r="G155" s="3">
        <v>1500</v>
      </c>
      <c r="H155" s="9">
        <f t="shared" si="2"/>
        <v>6000</v>
      </c>
    </row>
    <row r="156" spans="1:8" x14ac:dyDescent="0.3">
      <c r="A156" s="13">
        <v>155</v>
      </c>
      <c r="B156" s="1">
        <v>44351</v>
      </c>
      <c r="C156" s="2" t="s">
        <v>20</v>
      </c>
      <c r="D156" s="2" t="s">
        <v>9</v>
      </c>
      <c r="E156" s="2" t="s">
        <v>19</v>
      </c>
      <c r="F156" s="3">
        <v>3</v>
      </c>
      <c r="G156" s="3">
        <v>300</v>
      </c>
      <c r="H156" s="9">
        <f t="shared" si="2"/>
        <v>900</v>
      </c>
    </row>
    <row r="157" spans="1:8" x14ac:dyDescent="0.3">
      <c r="A157" s="13">
        <v>156</v>
      </c>
      <c r="B157" s="1">
        <v>44352</v>
      </c>
      <c r="C157" s="2" t="s">
        <v>20</v>
      </c>
      <c r="D157" s="2" t="s">
        <v>12</v>
      </c>
      <c r="E157" s="2" t="s">
        <v>21</v>
      </c>
      <c r="F157" s="3">
        <v>2</v>
      </c>
      <c r="G157" s="3">
        <v>190</v>
      </c>
      <c r="H157" s="9">
        <f t="shared" si="2"/>
        <v>380</v>
      </c>
    </row>
    <row r="158" spans="1:8" x14ac:dyDescent="0.3">
      <c r="A158" s="13">
        <v>157</v>
      </c>
      <c r="B158" s="1">
        <v>44353</v>
      </c>
      <c r="C158" s="2" t="s">
        <v>20</v>
      </c>
      <c r="D158" s="2" t="s">
        <v>22</v>
      </c>
      <c r="E158" s="2" t="s">
        <v>10</v>
      </c>
      <c r="F158" s="3">
        <v>7</v>
      </c>
      <c r="G158" s="3">
        <v>210</v>
      </c>
      <c r="H158" s="9">
        <f t="shared" si="2"/>
        <v>1470</v>
      </c>
    </row>
    <row r="159" spans="1:8" x14ac:dyDescent="0.3">
      <c r="A159" s="13">
        <v>158</v>
      </c>
      <c r="B159" s="1">
        <v>44354</v>
      </c>
      <c r="C159" s="2" t="s">
        <v>20</v>
      </c>
      <c r="D159" s="2" t="s">
        <v>23</v>
      </c>
      <c r="E159" s="2" t="s">
        <v>13</v>
      </c>
      <c r="F159" s="3">
        <v>6</v>
      </c>
      <c r="G159" s="3">
        <v>2100</v>
      </c>
      <c r="H159" s="9">
        <f t="shared" si="2"/>
        <v>12600</v>
      </c>
    </row>
    <row r="160" spans="1:8" x14ac:dyDescent="0.3">
      <c r="A160" s="13">
        <v>159</v>
      </c>
      <c r="B160" s="1">
        <v>44355</v>
      </c>
      <c r="C160" s="2" t="s">
        <v>20</v>
      </c>
      <c r="D160" s="2" t="s">
        <v>9</v>
      </c>
      <c r="E160" s="2" t="s">
        <v>15</v>
      </c>
      <c r="F160" s="3">
        <v>5</v>
      </c>
      <c r="G160" s="3">
        <v>1200</v>
      </c>
      <c r="H160" s="9">
        <f t="shared" si="2"/>
        <v>6000</v>
      </c>
    </row>
    <row r="161" spans="1:8" x14ac:dyDescent="0.3">
      <c r="A161" s="13">
        <v>160</v>
      </c>
      <c r="B161" s="1">
        <v>44356</v>
      </c>
      <c r="C161" s="2" t="s">
        <v>20</v>
      </c>
      <c r="D161" s="2" t="s">
        <v>12</v>
      </c>
      <c r="E161" s="2" t="s">
        <v>17</v>
      </c>
      <c r="F161" s="3">
        <v>4</v>
      </c>
      <c r="G161" s="3">
        <v>1500</v>
      </c>
      <c r="H161" s="9">
        <f t="shared" si="2"/>
        <v>6000</v>
      </c>
    </row>
    <row r="162" spans="1:8" x14ac:dyDescent="0.3">
      <c r="A162" s="13">
        <v>161</v>
      </c>
      <c r="B162" s="1">
        <v>44357</v>
      </c>
      <c r="C162" s="2" t="s">
        <v>20</v>
      </c>
      <c r="D162" s="2" t="s">
        <v>22</v>
      </c>
      <c r="E162" s="2" t="s">
        <v>19</v>
      </c>
      <c r="F162" s="3">
        <v>3</v>
      </c>
      <c r="G162" s="3">
        <v>300</v>
      </c>
      <c r="H162" s="9">
        <f t="shared" si="2"/>
        <v>900</v>
      </c>
    </row>
    <row r="163" spans="1:8" x14ac:dyDescent="0.3">
      <c r="A163" s="13">
        <v>162</v>
      </c>
      <c r="B163" s="1">
        <v>44358</v>
      </c>
      <c r="C163" s="2" t="s">
        <v>20</v>
      </c>
      <c r="D163" s="2" t="s">
        <v>23</v>
      </c>
      <c r="E163" s="2" t="s">
        <v>21</v>
      </c>
      <c r="F163" s="3">
        <v>2</v>
      </c>
      <c r="G163" s="3">
        <v>190</v>
      </c>
      <c r="H163" s="9">
        <f t="shared" si="2"/>
        <v>380</v>
      </c>
    </row>
    <row r="164" spans="1:8" x14ac:dyDescent="0.3">
      <c r="A164" s="13">
        <v>163</v>
      </c>
      <c r="B164" s="1">
        <v>44359</v>
      </c>
      <c r="C164" s="2" t="s">
        <v>8</v>
      </c>
      <c r="D164" s="2" t="s">
        <v>9</v>
      </c>
      <c r="E164" s="2" t="s">
        <v>10</v>
      </c>
      <c r="F164" s="3">
        <v>2</v>
      </c>
      <c r="G164" s="3">
        <v>210</v>
      </c>
      <c r="H164" s="9">
        <f t="shared" si="2"/>
        <v>420</v>
      </c>
    </row>
    <row r="165" spans="1:8" x14ac:dyDescent="0.3">
      <c r="A165" s="13">
        <v>164</v>
      </c>
      <c r="B165" s="1">
        <v>44360</v>
      </c>
      <c r="C165" s="2" t="s">
        <v>11</v>
      </c>
      <c r="D165" s="2" t="s">
        <v>12</v>
      </c>
      <c r="E165" s="2" t="s">
        <v>13</v>
      </c>
      <c r="F165" s="3">
        <v>7</v>
      </c>
      <c r="G165" s="3">
        <v>2100</v>
      </c>
      <c r="H165" s="9">
        <f t="shared" si="2"/>
        <v>14700</v>
      </c>
    </row>
    <row r="166" spans="1:8" x14ac:dyDescent="0.3">
      <c r="A166" s="13">
        <v>165</v>
      </c>
      <c r="B166" s="1">
        <v>44361</v>
      </c>
      <c r="C166" s="2" t="s">
        <v>14</v>
      </c>
      <c r="D166" s="2" t="s">
        <v>9</v>
      </c>
      <c r="E166" s="2" t="s">
        <v>15</v>
      </c>
      <c r="F166" s="3">
        <v>6</v>
      </c>
      <c r="G166" s="3">
        <v>1200</v>
      </c>
      <c r="H166" s="9">
        <f t="shared" si="2"/>
        <v>7200</v>
      </c>
    </row>
    <row r="167" spans="1:8" x14ac:dyDescent="0.3">
      <c r="A167" s="13">
        <v>166</v>
      </c>
      <c r="B167" s="1">
        <v>44362</v>
      </c>
      <c r="C167" s="2" t="s">
        <v>16</v>
      </c>
      <c r="D167" s="2" t="s">
        <v>12</v>
      </c>
      <c r="E167" s="2" t="s">
        <v>17</v>
      </c>
      <c r="F167" s="3">
        <v>5</v>
      </c>
      <c r="G167" s="3">
        <v>1500</v>
      </c>
      <c r="H167" s="9">
        <f t="shared" si="2"/>
        <v>7500</v>
      </c>
    </row>
    <row r="168" spans="1:8" x14ac:dyDescent="0.3">
      <c r="A168" s="13">
        <v>167</v>
      </c>
      <c r="B168" s="1">
        <v>44363</v>
      </c>
      <c r="C168" s="2" t="s">
        <v>18</v>
      </c>
      <c r="D168" s="2" t="s">
        <v>9</v>
      </c>
      <c r="E168" s="2" t="s">
        <v>19</v>
      </c>
      <c r="F168" s="3">
        <v>4</v>
      </c>
      <c r="G168" s="3">
        <v>300</v>
      </c>
      <c r="H168" s="9">
        <f t="shared" si="2"/>
        <v>1200</v>
      </c>
    </row>
    <row r="169" spans="1:8" x14ac:dyDescent="0.3">
      <c r="A169" s="13">
        <v>168</v>
      </c>
      <c r="B169" s="1">
        <v>44364</v>
      </c>
      <c r="C169" s="2" t="s">
        <v>20</v>
      </c>
      <c r="D169" s="2" t="s">
        <v>9</v>
      </c>
      <c r="E169" s="2" t="s">
        <v>21</v>
      </c>
      <c r="F169" s="3">
        <v>3</v>
      </c>
      <c r="G169" s="3">
        <v>190</v>
      </c>
      <c r="H169" s="9">
        <f t="shared" si="2"/>
        <v>570</v>
      </c>
    </row>
    <row r="170" spans="1:8" x14ac:dyDescent="0.3">
      <c r="A170" s="13">
        <v>169</v>
      </c>
      <c r="B170" s="1">
        <v>44365</v>
      </c>
      <c r="C170" s="2" t="s">
        <v>8</v>
      </c>
      <c r="D170" s="2" t="s">
        <v>9</v>
      </c>
      <c r="E170" s="2" t="s">
        <v>10</v>
      </c>
      <c r="F170" s="3">
        <v>2</v>
      </c>
      <c r="G170" s="3">
        <v>210</v>
      </c>
      <c r="H170" s="9">
        <f t="shared" si="2"/>
        <v>420</v>
      </c>
    </row>
    <row r="171" spans="1:8" x14ac:dyDescent="0.3">
      <c r="A171" s="13">
        <v>170</v>
      </c>
      <c r="B171" s="1">
        <v>44366</v>
      </c>
      <c r="C171" s="2" t="s">
        <v>11</v>
      </c>
      <c r="D171" s="2" t="s">
        <v>12</v>
      </c>
      <c r="E171" s="2" t="s">
        <v>15</v>
      </c>
      <c r="F171" s="3">
        <v>7</v>
      </c>
      <c r="G171" s="3">
        <v>2100</v>
      </c>
      <c r="H171" s="9">
        <f t="shared" si="2"/>
        <v>14700</v>
      </c>
    </row>
    <row r="172" spans="1:8" x14ac:dyDescent="0.3">
      <c r="A172" s="13">
        <v>171</v>
      </c>
      <c r="B172" s="1">
        <v>44367</v>
      </c>
      <c r="C172" s="2" t="s">
        <v>14</v>
      </c>
      <c r="D172" s="2" t="s">
        <v>12</v>
      </c>
      <c r="E172" s="2" t="s">
        <v>17</v>
      </c>
      <c r="F172" s="3">
        <v>6</v>
      </c>
      <c r="G172" s="3">
        <v>1200</v>
      </c>
      <c r="H172" s="9">
        <f t="shared" si="2"/>
        <v>7200</v>
      </c>
    </row>
    <row r="173" spans="1:8" x14ac:dyDescent="0.3">
      <c r="A173" s="13">
        <v>172</v>
      </c>
      <c r="B173" s="1">
        <v>44368</v>
      </c>
      <c r="C173" s="2" t="s">
        <v>16</v>
      </c>
      <c r="D173" s="2" t="s">
        <v>9</v>
      </c>
      <c r="E173" s="2" t="s">
        <v>19</v>
      </c>
      <c r="F173" s="3">
        <v>5</v>
      </c>
      <c r="G173" s="3">
        <v>300</v>
      </c>
      <c r="H173" s="9">
        <f t="shared" si="2"/>
        <v>1500</v>
      </c>
    </row>
    <row r="174" spans="1:8" x14ac:dyDescent="0.3">
      <c r="A174" s="13">
        <v>173</v>
      </c>
      <c r="B174" s="1">
        <v>44369</v>
      </c>
      <c r="C174" s="2" t="s">
        <v>18</v>
      </c>
      <c r="D174" s="2" t="s">
        <v>9</v>
      </c>
      <c r="E174" s="2" t="s">
        <v>21</v>
      </c>
      <c r="F174" s="3">
        <v>4</v>
      </c>
      <c r="G174" s="3">
        <v>200</v>
      </c>
      <c r="H174" s="9">
        <f t="shared" si="2"/>
        <v>800</v>
      </c>
    </row>
    <row r="175" spans="1:8" x14ac:dyDescent="0.3">
      <c r="A175" s="13">
        <v>174</v>
      </c>
      <c r="B175" s="1">
        <v>44370</v>
      </c>
      <c r="C175" s="2" t="s">
        <v>20</v>
      </c>
      <c r="D175" s="2" t="s">
        <v>12</v>
      </c>
      <c r="E175" s="2" t="s">
        <v>10</v>
      </c>
      <c r="F175" s="3">
        <v>3</v>
      </c>
      <c r="G175" s="3">
        <v>190</v>
      </c>
      <c r="H175" s="9">
        <f t="shared" si="2"/>
        <v>570</v>
      </c>
    </row>
    <row r="176" spans="1:8" x14ac:dyDescent="0.3">
      <c r="A176" s="13">
        <v>175</v>
      </c>
      <c r="B176" s="1">
        <v>44371</v>
      </c>
      <c r="C176" s="2" t="s">
        <v>20</v>
      </c>
      <c r="D176" s="2" t="s">
        <v>9</v>
      </c>
      <c r="E176" s="2" t="s">
        <v>13</v>
      </c>
      <c r="F176" s="3">
        <v>2</v>
      </c>
      <c r="G176" s="3">
        <v>2100</v>
      </c>
      <c r="H176" s="9">
        <f t="shared" si="2"/>
        <v>4200</v>
      </c>
    </row>
    <row r="177" spans="1:8" x14ac:dyDescent="0.3">
      <c r="A177" s="13">
        <v>176</v>
      </c>
      <c r="B177" s="1">
        <v>44372</v>
      </c>
      <c r="C177" s="2" t="s">
        <v>8</v>
      </c>
      <c r="D177" s="2" t="s">
        <v>9</v>
      </c>
      <c r="E177" s="2" t="s">
        <v>10</v>
      </c>
      <c r="F177" s="3">
        <v>7</v>
      </c>
      <c r="G177" s="3">
        <v>210</v>
      </c>
      <c r="H177" s="9">
        <f t="shared" si="2"/>
        <v>1470</v>
      </c>
    </row>
    <row r="178" spans="1:8" x14ac:dyDescent="0.3">
      <c r="A178" s="13">
        <v>177</v>
      </c>
      <c r="B178" s="1">
        <v>44373</v>
      </c>
      <c r="C178" s="2" t="s">
        <v>11</v>
      </c>
      <c r="D178" s="2" t="s">
        <v>9</v>
      </c>
      <c r="E178" s="2" t="s">
        <v>10</v>
      </c>
      <c r="F178" s="3">
        <v>3</v>
      </c>
      <c r="G178" s="3">
        <v>190</v>
      </c>
      <c r="H178" s="9">
        <f t="shared" si="2"/>
        <v>570</v>
      </c>
    </row>
    <row r="179" spans="1:8" x14ac:dyDescent="0.3">
      <c r="A179" s="13">
        <v>178</v>
      </c>
      <c r="B179" s="1">
        <v>44374</v>
      </c>
      <c r="C179" s="2" t="s">
        <v>14</v>
      </c>
      <c r="D179" s="2" t="s">
        <v>9</v>
      </c>
      <c r="E179" s="2" t="s">
        <v>10</v>
      </c>
      <c r="F179" s="3">
        <v>3</v>
      </c>
      <c r="G179" s="3">
        <v>190</v>
      </c>
      <c r="H179" s="9">
        <f t="shared" si="2"/>
        <v>570</v>
      </c>
    </row>
    <row r="180" spans="1:8" x14ac:dyDescent="0.3">
      <c r="A180" s="13">
        <v>179</v>
      </c>
      <c r="B180" s="1">
        <v>44375</v>
      </c>
      <c r="C180" s="2" t="s">
        <v>16</v>
      </c>
      <c r="D180" s="2" t="s">
        <v>9</v>
      </c>
      <c r="E180" s="2" t="s">
        <v>10</v>
      </c>
      <c r="F180" s="3">
        <v>3</v>
      </c>
      <c r="G180" s="3">
        <v>190</v>
      </c>
      <c r="H180" s="9">
        <f t="shared" si="2"/>
        <v>570</v>
      </c>
    </row>
    <row r="181" spans="1:8" x14ac:dyDescent="0.3">
      <c r="A181" s="13">
        <v>180</v>
      </c>
      <c r="B181" s="1">
        <v>44376</v>
      </c>
      <c r="C181" s="2" t="s">
        <v>18</v>
      </c>
      <c r="D181" s="2" t="s">
        <v>9</v>
      </c>
      <c r="E181" s="2" t="s">
        <v>10</v>
      </c>
      <c r="F181" s="3">
        <v>3</v>
      </c>
      <c r="G181" s="3">
        <v>190</v>
      </c>
      <c r="H181" s="9">
        <f t="shared" si="2"/>
        <v>570</v>
      </c>
    </row>
    <row r="182" spans="1:8" x14ac:dyDescent="0.3">
      <c r="A182" s="13">
        <v>181</v>
      </c>
      <c r="B182" s="1">
        <v>44377</v>
      </c>
      <c r="C182" s="2" t="s">
        <v>20</v>
      </c>
      <c r="D182" s="2" t="s">
        <v>9</v>
      </c>
      <c r="E182" s="2" t="s">
        <v>10</v>
      </c>
      <c r="F182" s="3">
        <v>3</v>
      </c>
      <c r="G182" s="3">
        <v>190</v>
      </c>
      <c r="H182" s="9">
        <f t="shared" si="2"/>
        <v>570</v>
      </c>
    </row>
    <row r="183" spans="1:8" x14ac:dyDescent="0.3">
      <c r="A183" s="13">
        <v>182</v>
      </c>
      <c r="B183" s="1">
        <v>44378</v>
      </c>
      <c r="C183" s="2" t="s">
        <v>8</v>
      </c>
      <c r="D183" s="2" t="s">
        <v>9</v>
      </c>
      <c r="E183" s="2" t="s">
        <v>10</v>
      </c>
      <c r="F183" s="3">
        <v>3</v>
      </c>
      <c r="G183" s="3">
        <v>190</v>
      </c>
      <c r="H183" s="9">
        <f t="shared" si="2"/>
        <v>570</v>
      </c>
    </row>
    <row r="184" spans="1:8" x14ac:dyDescent="0.3">
      <c r="A184" s="13">
        <v>183</v>
      </c>
      <c r="B184" s="1">
        <v>44379</v>
      </c>
      <c r="C184" s="2" t="s">
        <v>11</v>
      </c>
      <c r="D184" s="2" t="s">
        <v>12</v>
      </c>
      <c r="E184" s="2" t="s">
        <v>10</v>
      </c>
      <c r="F184" s="3">
        <v>3</v>
      </c>
      <c r="G184" s="3">
        <v>190</v>
      </c>
      <c r="H184" s="9">
        <f t="shared" si="2"/>
        <v>570</v>
      </c>
    </row>
    <row r="185" spans="1:8" x14ac:dyDescent="0.3">
      <c r="A185" s="13">
        <v>184</v>
      </c>
      <c r="B185" s="1">
        <v>44380</v>
      </c>
      <c r="C185" s="2" t="s">
        <v>14</v>
      </c>
      <c r="D185" s="2" t="s">
        <v>9</v>
      </c>
      <c r="E185" s="2" t="s">
        <v>15</v>
      </c>
      <c r="F185" s="3">
        <v>5</v>
      </c>
      <c r="G185" s="3">
        <v>1200</v>
      </c>
      <c r="H185" s="9">
        <f t="shared" si="2"/>
        <v>6000</v>
      </c>
    </row>
    <row r="186" spans="1:8" x14ac:dyDescent="0.3">
      <c r="A186" s="13">
        <v>185</v>
      </c>
      <c r="B186" s="1">
        <v>44381</v>
      </c>
      <c r="C186" s="2" t="s">
        <v>16</v>
      </c>
      <c r="D186" s="2" t="s">
        <v>12</v>
      </c>
      <c r="E186" s="2" t="s">
        <v>17</v>
      </c>
      <c r="F186" s="3">
        <v>4</v>
      </c>
      <c r="G186" s="3">
        <v>1500</v>
      </c>
      <c r="H186" s="9">
        <f t="shared" si="2"/>
        <v>6000</v>
      </c>
    </row>
    <row r="187" spans="1:8" x14ac:dyDescent="0.3">
      <c r="A187" s="13">
        <v>186</v>
      </c>
      <c r="B187" s="1">
        <v>44382</v>
      </c>
      <c r="C187" s="2" t="s">
        <v>18</v>
      </c>
      <c r="D187" s="2" t="s">
        <v>9</v>
      </c>
      <c r="E187" s="2" t="s">
        <v>19</v>
      </c>
      <c r="F187" s="3">
        <v>3</v>
      </c>
      <c r="G187" s="3">
        <v>300</v>
      </c>
      <c r="H187" s="9">
        <f t="shared" si="2"/>
        <v>900</v>
      </c>
    </row>
    <row r="188" spans="1:8" x14ac:dyDescent="0.3">
      <c r="A188" s="13">
        <v>187</v>
      </c>
      <c r="B188" s="1">
        <v>44383</v>
      </c>
      <c r="C188" s="2" t="s">
        <v>20</v>
      </c>
      <c r="D188" s="2" t="s">
        <v>9</v>
      </c>
      <c r="E188" s="2" t="s">
        <v>21</v>
      </c>
      <c r="F188" s="3">
        <v>2</v>
      </c>
      <c r="G188" s="3">
        <v>190</v>
      </c>
      <c r="H188" s="9">
        <f t="shared" si="2"/>
        <v>380</v>
      </c>
    </row>
    <row r="189" spans="1:8" x14ac:dyDescent="0.3">
      <c r="A189" s="13">
        <v>188</v>
      </c>
      <c r="B189" s="1">
        <v>44384</v>
      </c>
      <c r="C189" s="2" t="s">
        <v>20</v>
      </c>
      <c r="D189" s="2" t="s">
        <v>9</v>
      </c>
      <c r="E189" s="2" t="s">
        <v>10</v>
      </c>
      <c r="F189" s="3">
        <v>2</v>
      </c>
      <c r="G189" s="3">
        <v>210</v>
      </c>
      <c r="H189" s="9">
        <f t="shared" si="2"/>
        <v>420</v>
      </c>
    </row>
    <row r="190" spans="1:8" x14ac:dyDescent="0.3">
      <c r="A190" s="13">
        <v>189</v>
      </c>
      <c r="B190" s="1">
        <v>44385</v>
      </c>
      <c r="C190" s="2" t="s">
        <v>8</v>
      </c>
      <c r="D190" s="2" t="s">
        <v>9</v>
      </c>
      <c r="E190" s="2" t="s">
        <v>13</v>
      </c>
      <c r="F190" s="3">
        <v>7</v>
      </c>
      <c r="G190" s="3">
        <v>2100</v>
      </c>
      <c r="H190" s="9">
        <f t="shared" si="2"/>
        <v>14700</v>
      </c>
    </row>
    <row r="191" spans="1:8" x14ac:dyDescent="0.3">
      <c r="A191" s="13">
        <v>190</v>
      </c>
      <c r="B191" s="1">
        <v>44386</v>
      </c>
      <c r="C191" s="2" t="s">
        <v>8</v>
      </c>
      <c r="D191" s="2" t="s">
        <v>12</v>
      </c>
      <c r="E191" s="2" t="s">
        <v>15</v>
      </c>
      <c r="F191" s="3">
        <v>6</v>
      </c>
      <c r="G191" s="3">
        <v>1200</v>
      </c>
      <c r="H191" s="9">
        <f t="shared" si="2"/>
        <v>7200</v>
      </c>
    </row>
    <row r="192" spans="1:8" x14ac:dyDescent="0.3">
      <c r="A192" s="13">
        <v>191</v>
      </c>
      <c r="B192" s="1">
        <v>44387</v>
      </c>
      <c r="C192" s="2" t="s">
        <v>8</v>
      </c>
      <c r="D192" s="2" t="s">
        <v>22</v>
      </c>
      <c r="E192" s="2" t="s">
        <v>17</v>
      </c>
      <c r="F192" s="3">
        <v>5</v>
      </c>
      <c r="G192" s="3">
        <v>1500</v>
      </c>
      <c r="H192" s="9">
        <f t="shared" si="2"/>
        <v>7500</v>
      </c>
    </row>
    <row r="193" spans="1:8" x14ac:dyDescent="0.3">
      <c r="A193" s="13">
        <v>192</v>
      </c>
      <c r="B193" s="1">
        <v>44388</v>
      </c>
      <c r="C193" s="2" t="s">
        <v>8</v>
      </c>
      <c r="D193" s="2" t="s">
        <v>23</v>
      </c>
      <c r="E193" s="2" t="s">
        <v>19</v>
      </c>
      <c r="F193" s="3">
        <v>4</v>
      </c>
      <c r="G193" s="3">
        <v>300</v>
      </c>
      <c r="H193" s="9">
        <f t="shared" si="2"/>
        <v>1200</v>
      </c>
    </row>
    <row r="194" spans="1:8" x14ac:dyDescent="0.3">
      <c r="A194" s="13">
        <v>193</v>
      </c>
      <c r="B194" s="1">
        <v>44389</v>
      </c>
      <c r="C194" s="2" t="s">
        <v>8</v>
      </c>
      <c r="D194" s="2" t="s">
        <v>9</v>
      </c>
      <c r="E194" s="2" t="s">
        <v>21</v>
      </c>
      <c r="F194" s="3">
        <v>3</v>
      </c>
      <c r="G194" s="3">
        <v>190</v>
      </c>
      <c r="H194" s="9">
        <f t="shared" si="2"/>
        <v>570</v>
      </c>
    </row>
    <row r="195" spans="1:8" x14ac:dyDescent="0.3">
      <c r="A195" s="13">
        <v>194</v>
      </c>
      <c r="B195" s="1">
        <v>44390</v>
      </c>
      <c r="C195" s="2" t="s">
        <v>8</v>
      </c>
      <c r="D195" s="2" t="s">
        <v>12</v>
      </c>
      <c r="E195" s="2" t="s">
        <v>10</v>
      </c>
      <c r="F195" s="3">
        <v>2</v>
      </c>
      <c r="G195" s="3">
        <v>210</v>
      </c>
      <c r="H195" s="9">
        <f t="shared" ref="H195:H258" si="3">F195*G195</f>
        <v>420</v>
      </c>
    </row>
    <row r="196" spans="1:8" x14ac:dyDescent="0.3">
      <c r="A196" s="13">
        <v>195</v>
      </c>
      <c r="B196" s="1">
        <v>44391</v>
      </c>
      <c r="C196" s="2" t="s">
        <v>8</v>
      </c>
      <c r="D196" s="2" t="s">
        <v>22</v>
      </c>
      <c r="E196" s="2" t="s">
        <v>15</v>
      </c>
      <c r="F196" s="3">
        <v>7</v>
      </c>
      <c r="G196" s="3">
        <v>2100</v>
      </c>
      <c r="H196" s="9">
        <f t="shared" si="3"/>
        <v>14700</v>
      </c>
    </row>
    <row r="197" spans="1:8" x14ac:dyDescent="0.3">
      <c r="A197" s="13">
        <v>196</v>
      </c>
      <c r="B197" s="1">
        <v>44392</v>
      </c>
      <c r="C197" s="2" t="s">
        <v>8</v>
      </c>
      <c r="D197" s="2" t="s">
        <v>23</v>
      </c>
      <c r="E197" s="2" t="s">
        <v>17</v>
      </c>
      <c r="F197" s="3">
        <v>6</v>
      </c>
      <c r="G197" s="3">
        <v>1200</v>
      </c>
      <c r="H197" s="9">
        <f t="shared" si="3"/>
        <v>7200</v>
      </c>
    </row>
    <row r="198" spans="1:8" x14ac:dyDescent="0.3">
      <c r="A198" s="13">
        <v>197</v>
      </c>
      <c r="B198" s="1">
        <v>44393</v>
      </c>
      <c r="C198" s="2" t="s">
        <v>11</v>
      </c>
      <c r="D198" s="2" t="s">
        <v>12</v>
      </c>
      <c r="E198" s="2" t="s">
        <v>19</v>
      </c>
      <c r="F198" s="3">
        <v>5</v>
      </c>
      <c r="G198" s="3">
        <v>300</v>
      </c>
      <c r="H198" s="9">
        <f t="shared" si="3"/>
        <v>1500</v>
      </c>
    </row>
    <row r="199" spans="1:8" x14ac:dyDescent="0.3">
      <c r="A199" s="13">
        <v>198</v>
      </c>
      <c r="B199" s="1">
        <v>44394</v>
      </c>
      <c r="C199" s="2" t="s">
        <v>11</v>
      </c>
      <c r="D199" s="2" t="s">
        <v>9</v>
      </c>
      <c r="E199" s="2" t="s">
        <v>21</v>
      </c>
      <c r="F199" s="3">
        <v>4</v>
      </c>
      <c r="G199" s="3">
        <v>200</v>
      </c>
      <c r="H199" s="9">
        <f t="shared" si="3"/>
        <v>800</v>
      </c>
    </row>
    <row r="200" spans="1:8" x14ac:dyDescent="0.3">
      <c r="A200" s="13">
        <v>199</v>
      </c>
      <c r="B200" s="1">
        <v>44395</v>
      </c>
      <c r="C200" s="2" t="s">
        <v>11</v>
      </c>
      <c r="D200" s="2" t="s">
        <v>22</v>
      </c>
      <c r="E200" s="2" t="s">
        <v>10</v>
      </c>
      <c r="F200" s="3">
        <v>3</v>
      </c>
      <c r="G200" s="3">
        <v>190</v>
      </c>
      <c r="H200" s="9">
        <f t="shared" si="3"/>
        <v>570</v>
      </c>
    </row>
    <row r="201" spans="1:8" x14ac:dyDescent="0.3">
      <c r="A201" s="13">
        <v>200</v>
      </c>
      <c r="B201" s="1">
        <v>44396</v>
      </c>
      <c r="C201" s="2" t="s">
        <v>11</v>
      </c>
      <c r="D201" s="2" t="s">
        <v>23</v>
      </c>
      <c r="E201" s="2" t="s">
        <v>13</v>
      </c>
      <c r="F201" s="3">
        <v>2</v>
      </c>
      <c r="G201" s="3">
        <v>2100</v>
      </c>
      <c r="H201" s="9">
        <f t="shared" si="3"/>
        <v>4200</v>
      </c>
    </row>
    <row r="202" spans="1:8" x14ac:dyDescent="0.3">
      <c r="A202" s="13">
        <v>201</v>
      </c>
      <c r="B202" s="1">
        <v>44397</v>
      </c>
      <c r="C202" s="2" t="s">
        <v>11</v>
      </c>
      <c r="D202" s="2" t="s">
        <v>12</v>
      </c>
      <c r="E202" s="2" t="s">
        <v>10</v>
      </c>
      <c r="F202" s="3">
        <v>7</v>
      </c>
      <c r="G202" s="3">
        <v>210</v>
      </c>
      <c r="H202" s="9">
        <f t="shared" si="3"/>
        <v>1470</v>
      </c>
    </row>
    <row r="203" spans="1:8" x14ac:dyDescent="0.3">
      <c r="A203" s="13">
        <v>202</v>
      </c>
      <c r="B203" s="1">
        <v>44398</v>
      </c>
      <c r="C203" s="2" t="s">
        <v>11</v>
      </c>
      <c r="D203" s="2" t="s">
        <v>9</v>
      </c>
      <c r="E203" s="2" t="s">
        <v>13</v>
      </c>
      <c r="F203" s="3">
        <v>6</v>
      </c>
      <c r="G203" s="3">
        <v>2100</v>
      </c>
      <c r="H203" s="9">
        <f t="shared" si="3"/>
        <v>12600</v>
      </c>
    </row>
    <row r="204" spans="1:8" x14ac:dyDescent="0.3">
      <c r="A204" s="13">
        <v>203</v>
      </c>
      <c r="B204" s="1">
        <v>44399</v>
      </c>
      <c r="C204" s="2" t="s">
        <v>11</v>
      </c>
      <c r="D204" s="2" t="s">
        <v>22</v>
      </c>
      <c r="E204" s="2" t="s">
        <v>15</v>
      </c>
      <c r="F204" s="3">
        <v>5</v>
      </c>
      <c r="G204" s="3">
        <v>1200</v>
      </c>
      <c r="H204" s="9">
        <f t="shared" si="3"/>
        <v>6000</v>
      </c>
    </row>
    <row r="205" spans="1:8" x14ac:dyDescent="0.3">
      <c r="A205" s="13">
        <v>204</v>
      </c>
      <c r="B205" s="1">
        <v>44400</v>
      </c>
      <c r="C205" s="2" t="s">
        <v>11</v>
      </c>
      <c r="D205" s="2" t="s">
        <v>23</v>
      </c>
      <c r="E205" s="2" t="s">
        <v>17</v>
      </c>
      <c r="F205" s="3">
        <v>4</v>
      </c>
      <c r="G205" s="3">
        <v>1500</v>
      </c>
      <c r="H205" s="9">
        <f t="shared" si="3"/>
        <v>6000</v>
      </c>
    </row>
    <row r="206" spans="1:8" x14ac:dyDescent="0.3">
      <c r="A206" s="13">
        <v>205</v>
      </c>
      <c r="B206" s="1">
        <v>44401</v>
      </c>
      <c r="C206" s="2" t="s">
        <v>14</v>
      </c>
      <c r="D206" s="2" t="s">
        <v>23</v>
      </c>
      <c r="E206" s="2" t="s">
        <v>19</v>
      </c>
      <c r="F206" s="3">
        <v>3</v>
      </c>
      <c r="G206" s="3">
        <v>300</v>
      </c>
      <c r="H206" s="9">
        <f t="shared" si="3"/>
        <v>900</v>
      </c>
    </row>
    <row r="207" spans="1:8" x14ac:dyDescent="0.3">
      <c r="A207" s="13">
        <v>206</v>
      </c>
      <c r="B207" s="1">
        <v>44402</v>
      </c>
      <c r="C207" s="2" t="s">
        <v>16</v>
      </c>
      <c r="D207" s="2" t="s">
        <v>23</v>
      </c>
      <c r="E207" s="2" t="s">
        <v>21</v>
      </c>
      <c r="F207" s="3">
        <v>2</v>
      </c>
      <c r="G207" s="3">
        <v>190</v>
      </c>
      <c r="H207" s="9">
        <f t="shared" si="3"/>
        <v>380</v>
      </c>
    </row>
    <row r="208" spans="1:8" x14ac:dyDescent="0.3">
      <c r="A208" s="13">
        <v>207</v>
      </c>
      <c r="B208" s="1">
        <v>44403</v>
      </c>
      <c r="C208" s="2" t="s">
        <v>18</v>
      </c>
      <c r="D208" s="2" t="s">
        <v>23</v>
      </c>
      <c r="E208" s="2" t="s">
        <v>10</v>
      </c>
      <c r="F208" s="3">
        <v>7</v>
      </c>
      <c r="G208" s="3">
        <v>210</v>
      </c>
      <c r="H208" s="9">
        <f t="shared" si="3"/>
        <v>1470</v>
      </c>
    </row>
    <row r="209" spans="1:8" x14ac:dyDescent="0.3">
      <c r="A209" s="13">
        <v>208</v>
      </c>
      <c r="B209" s="1">
        <v>44404</v>
      </c>
      <c r="C209" s="2" t="s">
        <v>20</v>
      </c>
      <c r="D209" s="2" t="s">
        <v>23</v>
      </c>
      <c r="E209" s="2" t="s">
        <v>13</v>
      </c>
      <c r="F209" s="3">
        <v>6</v>
      </c>
      <c r="G209" s="3">
        <v>2100</v>
      </c>
      <c r="H209" s="9">
        <f t="shared" si="3"/>
        <v>12600</v>
      </c>
    </row>
    <row r="210" spans="1:8" x14ac:dyDescent="0.3">
      <c r="A210" s="13">
        <v>209</v>
      </c>
      <c r="B210" s="1">
        <v>44405</v>
      </c>
      <c r="C210" s="2" t="s">
        <v>20</v>
      </c>
      <c r="D210" s="2" t="s">
        <v>9</v>
      </c>
      <c r="E210" s="2" t="s">
        <v>15</v>
      </c>
      <c r="F210" s="3">
        <v>5</v>
      </c>
      <c r="G210" s="3">
        <v>1200</v>
      </c>
      <c r="H210" s="9">
        <f t="shared" si="3"/>
        <v>6000</v>
      </c>
    </row>
    <row r="211" spans="1:8" x14ac:dyDescent="0.3">
      <c r="A211" s="13">
        <v>210</v>
      </c>
      <c r="B211" s="1">
        <v>44406</v>
      </c>
      <c r="C211" s="2" t="s">
        <v>20</v>
      </c>
      <c r="D211" s="2" t="s">
        <v>12</v>
      </c>
      <c r="E211" s="2" t="s">
        <v>17</v>
      </c>
      <c r="F211" s="3">
        <v>4</v>
      </c>
      <c r="G211" s="3">
        <v>1500</v>
      </c>
      <c r="H211" s="9">
        <f t="shared" si="3"/>
        <v>6000</v>
      </c>
    </row>
    <row r="212" spans="1:8" x14ac:dyDescent="0.3">
      <c r="A212" s="13">
        <v>211</v>
      </c>
      <c r="B212" s="1">
        <v>44407</v>
      </c>
      <c r="C212" s="2" t="s">
        <v>20</v>
      </c>
      <c r="D212" s="2" t="s">
        <v>22</v>
      </c>
      <c r="E212" s="2" t="s">
        <v>19</v>
      </c>
      <c r="F212" s="3">
        <v>3</v>
      </c>
      <c r="G212" s="3">
        <v>300</v>
      </c>
      <c r="H212" s="9">
        <f t="shared" si="3"/>
        <v>900</v>
      </c>
    </row>
    <row r="213" spans="1:8" x14ac:dyDescent="0.3">
      <c r="A213" s="13">
        <v>212</v>
      </c>
      <c r="B213" s="1">
        <v>44408</v>
      </c>
      <c r="C213" s="2" t="s">
        <v>20</v>
      </c>
      <c r="D213" s="2" t="s">
        <v>23</v>
      </c>
      <c r="E213" s="2" t="s">
        <v>21</v>
      </c>
      <c r="F213" s="3">
        <v>2</v>
      </c>
      <c r="G213" s="3">
        <v>190</v>
      </c>
      <c r="H213" s="9">
        <f t="shared" si="3"/>
        <v>380</v>
      </c>
    </row>
    <row r="214" spans="1:8" x14ac:dyDescent="0.3">
      <c r="A214" s="13">
        <v>213</v>
      </c>
      <c r="B214" s="1">
        <v>44409</v>
      </c>
      <c r="C214" s="2" t="s">
        <v>20</v>
      </c>
      <c r="D214" s="2" t="s">
        <v>9</v>
      </c>
      <c r="E214" s="2" t="s">
        <v>10</v>
      </c>
      <c r="F214" s="3">
        <v>2</v>
      </c>
      <c r="G214" s="3">
        <v>210</v>
      </c>
      <c r="H214" s="9">
        <f t="shared" si="3"/>
        <v>420</v>
      </c>
    </row>
    <row r="215" spans="1:8" x14ac:dyDescent="0.3">
      <c r="A215" s="13">
        <v>214</v>
      </c>
      <c r="B215" s="1">
        <v>44410</v>
      </c>
      <c r="C215" s="2" t="s">
        <v>20</v>
      </c>
      <c r="D215" s="2" t="s">
        <v>12</v>
      </c>
      <c r="E215" s="2" t="s">
        <v>13</v>
      </c>
      <c r="F215" s="3">
        <v>7</v>
      </c>
      <c r="G215" s="3">
        <v>2100</v>
      </c>
      <c r="H215" s="9">
        <f t="shared" si="3"/>
        <v>14700</v>
      </c>
    </row>
    <row r="216" spans="1:8" x14ac:dyDescent="0.3">
      <c r="A216" s="13">
        <v>215</v>
      </c>
      <c r="B216" s="1">
        <v>44411</v>
      </c>
      <c r="C216" s="2" t="s">
        <v>20</v>
      </c>
      <c r="D216" s="2" t="s">
        <v>22</v>
      </c>
      <c r="E216" s="2" t="s">
        <v>15</v>
      </c>
      <c r="F216" s="3">
        <v>6</v>
      </c>
      <c r="G216" s="3">
        <v>1200</v>
      </c>
      <c r="H216" s="9">
        <f t="shared" si="3"/>
        <v>7200</v>
      </c>
    </row>
    <row r="217" spans="1:8" x14ac:dyDescent="0.3">
      <c r="A217" s="13">
        <v>216</v>
      </c>
      <c r="B217" s="1">
        <v>44412</v>
      </c>
      <c r="C217" s="2" t="s">
        <v>20</v>
      </c>
      <c r="D217" s="2" t="s">
        <v>23</v>
      </c>
      <c r="E217" s="2" t="s">
        <v>17</v>
      </c>
      <c r="F217" s="3">
        <v>5</v>
      </c>
      <c r="G217" s="3">
        <v>1500</v>
      </c>
      <c r="H217" s="9">
        <f t="shared" si="3"/>
        <v>7500</v>
      </c>
    </row>
    <row r="218" spans="1:8" x14ac:dyDescent="0.3">
      <c r="A218" s="13">
        <v>217</v>
      </c>
      <c r="B218" s="1">
        <v>44413</v>
      </c>
      <c r="C218" s="2" t="s">
        <v>8</v>
      </c>
      <c r="D218" s="2" t="s">
        <v>9</v>
      </c>
      <c r="E218" s="2" t="s">
        <v>19</v>
      </c>
      <c r="F218" s="3">
        <v>4</v>
      </c>
      <c r="G218" s="3">
        <v>300</v>
      </c>
      <c r="H218" s="9">
        <f t="shared" si="3"/>
        <v>1200</v>
      </c>
    </row>
    <row r="219" spans="1:8" x14ac:dyDescent="0.3">
      <c r="A219" s="13">
        <v>218</v>
      </c>
      <c r="B219" s="1">
        <v>44414</v>
      </c>
      <c r="C219" s="2" t="s">
        <v>11</v>
      </c>
      <c r="D219" s="2" t="s">
        <v>12</v>
      </c>
      <c r="E219" s="2" t="s">
        <v>21</v>
      </c>
      <c r="F219" s="3">
        <v>3</v>
      </c>
      <c r="G219" s="3">
        <v>190</v>
      </c>
      <c r="H219" s="9">
        <f t="shared" si="3"/>
        <v>570</v>
      </c>
    </row>
    <row r="220" spans="1:8" x14ac:dyDescent="0.3">
      <c r="A220" s="13">
        <v>219</v>
      </c>
      <c r="B220" s="1">
        <v>44415</v>
      </c>
      <c r="C220" s="2" t="s">
        <v>14</v>
      </c>
      <c r="D220" s="2" t="s">
        <v>9</v>
      </c>
      <c r="E220" s="2" t="s">
        <v>10</v>
      </c>
      <c r="F220" s="3">
        <v>2</v>
      </c>
      <c r="G220" s="3">
        <v>210</v>
      </c>
      <c r="H220" s="9">
        <f t="shared" si="3"/>
        <v>420</v>
      </c>
    </row>
    <row r="221" spans="1:8" x14ac:dyDescent="0.3">
      <c r="A221" s="13">
        <v>220</v>
      </c>
      <c r="B221" s="1">
        <v>44416</v>
      </c>
      <c r="C221" s="2" t="s">
        <v>16</v>
      </c>
      <c r="D221" s="2" t="s">
        <v>12</v>
      </c>
      <c r="E221" s="2" t="s">
        <v>15</v>
      </c>
      <c r="F221" s="3">
        <v>7</v>
      </c>
      <c r="G221" s="3">
        <v>2100</v>
      </c>
      <c r="H221" s="9">
        <f t="shared" si="3"/>
        <v>14700</v>
      </c>
    </row>
    <row r="222" spans="1:8" x14ac:dyDescent="0.3">
      <c r="A222" s="13">
        <v>221</v>
      </c>
      <c r="B222" s="1">
        <v>44417</v>
      </c>
      <c r="C222" s="2" t="s">
        <v>18</v>
      </c>
      <c r="D222" s="2" t="s">
        <v>9</v>
      </c>
      <c r="E222" s="2" t="s">
        <v>17</v>
      </c>
      <c r="F222" s="3">
        <v>6</v>
      </c>
      <c r="G222" s="3">
        <v>1200</v>
      </c>
      <c r="H222" s="9">
        <f t="shared" si="3"/>
        <v>7200</v>
      </c>
    </row>
    <row r="223" spans="1:8" x14ac:dyDescent="0.3">
      <c r="A223" s="13">
        <v>222</v>
      </c>
      <c r="B223" s="1">
        <v>44418</v>
      </c>
      <c r="C223" s="2" t="s">
        <v>20</v>
      </c>
      <c r="D223" s="2" t="s">
        <v>9</v>
      </c>
      <c r="E223" s="2" t="s">
        <v>19</v>
      </c>
      <c r="F223" s="3">
        <v>5</v>
      </c>
      <c r="G223" s="3">
        <v>300</v>
      </c>
      <c r="H223" s="9">
        <f t="shared" si="3"/>
        <v>1500</v>
      </c>
    </row>
    <row r="224" spans="1:8" x14ac:dyDescent="0.3">
      <c r="A224" s="13">
        <v>223</v>
      </c>
      <c r="B224" s="1">
        <v>44419</v>
      </c>
      <c r="C224" s="2" t="s">
        <v>8</v>
      </c>
      <c r="D224" s="2" t="s">
        <v>9</v>
      </c>
      <c r="E224" s="2" t="s">
        <v>21</v>
      </c>
      <c r="F224" s="3">
        <v>4</v>
      </c>
      <c r="G224" s="3">
        <v>200</v>
      </c>
      <c r="H224" s="9">
        <f t="shared" si="3"/>
        <v>800</v>
      </c>
    </row>
    <row r="225" spans="1:8" x14ac:dyDescent="0.3">
      <c r="A225" s="13">
        <v>224</v>
      </c>
      <c r="B225" s="1">
        <v>44420</v>
      </c>
      <c r="C225" s="2" t="s">
        <v>11</v>
      </c>
      <c r="D225" s="2" t="s">
        <v>12</v>
      </c>
      <c r="E225" s="2" t="s">
        <v>10</v>
      </c>
      <c r="F225" s="3">
        <v>3</v>
      </c>
      <c r="G225" s="3">
        <v>190</v>
      </c>
      <c r="H225" s="9">
        <f t="shared" si="3"/>
        <v>570</v>
      </c>
    </row>
    <row r="226" spans="1:8" x14ac:dyDescent="0.3">
      <c r="A226" s="13">
        <v>225</v>
      </c>
      <c r="B226" s="1">
        <v>44421</v>
      </c>
      <c r="C226" s="2" t="s">
        <v>14</v>
      </c>
      <c r="D226" s="2" t="s">
        <v>12</v>
      </c>
      <c r="E226" s="2" t="s">
        <v>13</v>
      </c>
      <c r="F226" s="3">
        <v>2</v>
      </c>
      <c r="G226" s="3">
        <v>2100</v>
      </c>
      <c r="H226" s="9">
        <f t="shared" si="3"/>
        <v>4200</v>
      </c>
    </row>
    <row r="227" spans="1:8" x14ac:dyDescent="0.3">
      <c r="A227" s="13">
        <v>226</v>
      </c>
      <c r="B227" s="1">
        <v>44422</v>
      </c>
      <c r="C227" s="2" t="s">
        <v>16</v>
      </c>
      <c r="D227" s="2" t="s">
        <v>9</v>
      </c>
      <c r="E227" s="2" t="s">
        <v>10</v>
      </c>
      <c r="F227" s="3">
        <v>7</v>
      </c>
      <c r="G227" s="3">
        <v>210</v>
      </c>
      <c r="H227" s="9">
        <f t="shared" si="3"/>
        <v>1470</v>
      </c>
    </row>
    <row r="228" spans="1:8" x14ac:dyDescent="0.3">
      <c r="A228" s="13">
        <v>227</v>
      </c>
      <c r="B228" s="1">
        <v>44423</v>
      </c>
      <c r="C228" s="2" t="s">
        <v>18</v>
      </c>
      <c r="D228" s="2" t="s">
        <v>9</v>
      </c>
      <c r="E228" s="2" t="s">
        <v>13</v>
      </c>
      <c r="F228" s="3">
        <v>6</v>
      </c>
      <c r="G228" s="3">
        <v>2100</v>
      </c>
      <c r="H228" s="9">
        <f t="shared" si="3"/>
        <v>12600</v>
      </c>
    </row>
    <row r="229" spans="1:8" x14ac:dyDescent="0.3">
      <c r="A229" s="13">
        <v>228</v>
      </c>
      <c r="B229" s="1">
        <v>44424</v>
      </c>
      <c r="C229" s="2" t="s">
        <v>20</v>
      </c>
      <c r="D229" s="2" t="s">
        <v>12</v>
      </c>
      <c r="E229" s="2" t="s">
        <v>15</v>
      </c>
      <c r="F229" s="3">
        <v>5</v>
      </c>
      <c r="G229" s="3">
        <v>1200</v>
      </c>
      <c r="H229" s="9">
        <f t="shared" si="3"/>
        <v>6000</v>
      </c>
    </row>
    <row r="230" spans="1:8" x14ac:dyDescent="0.3">
      <c r="A230" s="13">
        <v>229</v>
      </c>
      <c r="B230" s="1">
        <v>44425</v>
      </c>
      <c r="C230" s="2" t="s">
        <v>20</v>
      </c>
      <c r="D230" s="2" t="s">
        <v>9</v>
      </c>
      <c r="E230" s="2" t="s">
        <v>17</v>
      </c>
      <c r="F230" s="3">
        <v>4</v>
      </c>
      <c r="G230" s="3">
        <v>1500</v>
      </c>
      <c r="H230" s="9">
        <f t="shared" si="3"/>
        <v>6000</v>
      </c>
    </row>
    <row r="231" spans="1:8" x14ac:dyDescent="0.3">
      <c r="A231" s="13">
        <v>230</v>
      </c>
      <c r="B231" s="1">
        <v>44426</v>
      </c>
      <c r="C231" s="2" t="s">
        <v>8</v>
      </c>
      <c r="D231" s="2" t="s">
        <v>9</v>
      </c>
      <c r="E231" s="2" t="s">
        <v>19</v>
      </c>
      <c r="F231" s="3">
        <v>3</v>
      </c>
      <c r="G231" s="3">
        <v>300</v>
      </c>
      <c r="H231" s="9">
        <f t="shared" si="3"/>
        <v>900</v>
      </c>
    </row>
    <row r="232" spans="1:8" x14ac:dyDescent="0.3">
      <c r="A232" s="13">
        <v>231</v>
      </c>
      <c r="B232" s="1">
        <v>44427</v>
      </c>
      <c r="C232" s="2" t="s">
        <v>11</v>
      </c>
      <c r="D232" s="2" t="s">
        <v>9</v>
      </c>
      <c r="E232" s="2" t="s">
        <v>21</v>
      </c>
      <c r="F232" s="3">
        <v>2</v>
      </c>
      <c r="G232" s="3">
        <v>190</v>
      </c>
      <c r="H232" s="9">
        <f t="shared" si="3"/>
        <v>380</v>
      </c>
    </row>
    <row r="233" spans="1:8" x14ac:dyDescent="0.3">
      <c r="A233" s="13">
        <v>232</v>
      </c>
      <c r="B233" s="1">
        <v>44428</v>
      </c>
      <c r="C233" s="2" t="s">
        <v>14</v>
      </c>
      <c r="D233" s="2" t="s">
        <v>9</v>
      </c>
      <c r="E233" s="2" t="s">
        <v>10</v>
      </c>
      <c r="F233" s="3">
        <v>7</v>
      </c>
      <c r="G233" s="3">
        <v>210</v>
      </c>
      <c r="H233" s="9">
        <f t="shared" si="3"/>
        <v>1470</v>
      </c>
    </row>
    <row r="234" spans="1:8" x14ac:dyDescent="0.3">
      <c r="A234" s="13">
        <v>233</v>
      </c>
      <c r="B234" s="1">
        <v>44429</v>
      </c>
      <c r="C234" s="2" t="s">
        <v>16</v>
      </c>
      <c r="D234" s="2" t="s">
        <v>9</v>
      </c>
      <c r="E234" s="2" t="s">
        <v>13</v>
      </c>
      <c r="F234" s="3">
        <v>6</v>
      </c>
      <c r="G234" s="3">
        <v>2100</v>
      </c>
      <c r="H234" s="9">
        <f t="shared" si="3"/>
        <v>12600</v>
      </c>
    </row>
    <row r="235" spans="1:8" x14ac:dyDescent="0.3">
      <c r="A235" s="13">
        <v>234</v>
      </c>
      <c r="B235" s="1">
        <v>44430</v>
      </c>
      <c r="C235" s="2" t="s">
        <v>18</v>
      </c>
      <c r="D235" s="2" t="s">
        <v>9</v>
      </c>
      <c r="E235" s="2" t="s">
        <v>13</v>
      </c>
      <c r="F235" s="3">
        <v>7</v>
      </c>
      <c r="G235" s="3">
        <v>2100</v>
      </c>
      <c r="H235" s="9">
        <f t="shared" si="3"/>
        <v>14700</v>
      </c>
    </row>
    <row r="236" spans="1:8" x14ac:dyDescent="0.3">
      <c r="A236" s="13">
        <v>235</v>
      </c>
      <c r="B236" s="1">
        <v>44431</v>
      </c>
      <c r="C236" s="2" t="s">
        <v>20</v>
      </c>
      <c r="D236" s="2" t="s">
        <v>9</v>
      </c>
      <c r="E236" s="2" t="s">
        <v>17</v>
      </c>
      <c r="F236" s="3">
        <v>4</v>
      </c>
      <c r="G236" s="3">
        <v>1500</v>
      </c>
      <c r="H236" s="9">
        <f t="shared" si="3"/>
        <v>6000</v>
      </c>
    </row>
    <row r="237" spans="1:8" x14ac:dyDescent="0.3">
      <c r="A237" s="13">
        <v>236</v>
      </c>
      <c r="B237" s="1">
        <v>44432</v>
      </c>
      <c r="C237" s="2" t="s">
        <v>8</v>
      </c>
      <c r="D237" s="2" t="s">
        <v>9</v>
      </c>
      <c r="E237" s="2" t="s">
        <v>19</v>
      </c>
      <c r="F237" s="3">
        <v>3</v>
      </c>
      <c r="G237" s="3">
        <v>300</v>
      </c>
      <c r="H237" s="9">
        <f t="shared" si="3"/>
        <v>900</v>
      </c>
    </row>
    <row r="238" spans="1:8" x14ac:dyDescent="0.3">
      <c r="A238" s="13">
        <v>237</v>
      </c>
      <c r="B238" s="1">
        <v>44433</v>
      </c>
      <c r="C238" s="2" t="s">
        <v>11</v>
      </c>
      <c r="D238" s="2" t="s">
        <v>12</v>
      </c>
      <c r="E238" s="2" t="s">
        <v>21</v>
      </c>
      <c r="F238" s="3">
        <v>2</v>
      </c>
      <c r="G238" s="3">
        <v>190</v>
      </c>
      <c r="H238" s="9">
        <f t="shared" si="3"/>
        <v>380</v>
      </c>
    </row>
    <row r="239" spans="1:8" x14ac:dyDescent="0.3">
      <c r="A239" s="13">
        <v>238</v>
      </c>
      <c r="B239" s="1">
        <v>44434</v>
      </c>
      <c r="C239" s="2" t="s">
        <v>14</v>
      </c>
      <c r="D239" s="2" t="s">
        <v>9</v>
      </c>
      <c r="E239" s="2" t="s">
        <v>10</v>
      </c>
      <c r="F239" s="3">
        <v>2</v>
      </c>
      <c r="G239" s="3">
        <v>210</v>
      </c>
      <c r="H239" s="9">
        <f t="shared" si="3"/>
        <v>420</v>
      </c>
    </row>
    <row r="240" spans="1:8" x14ac:dyDescent="0.3">
      <c r="A240" s="13">
        <v>239</v>
      </c>
      <c r="B240" s="1">
        <v>44435</v>
      </c>
      <c r="C240" s="2" t="s">
        <v>16</v>
      </c>
      <c r="D240" s="2" t="s">
        <v>12</v>
      </c>
      <c r="E240" s="2" t="s">
        <v>13</v>
      </c>
      <c r="F240" s="3">
        <v>7</v>
      </c>
      <c r="G240" s="3">
        <v>2100</v>
      </c>
      <c r="H240" s="9">
        <f t="shared" si="3"/>
        <v>14700</v>
      </c>
    </row>
    <row r="241" spans="1:8" x14ac:dyDescent="0.3">
      <c r="A241" s="13">
        <v>240</v>
      </c>
      <c r="B241" s="1">
        <v>44436</v>
      </c>
      <c r="C241" s="2" t="s">
        <v>18</v>
      </c>
      <c r="D241" s="2" t="s">
        <v>9</v>
      </c>
      <c r="E241" s="2" t="s">
        <v>15</v>
      </c>
      <c r="F241" s="3">
        <v>6</v>
      </c>
      <c r="G241" s="3">
        <v>1200</v>
      </c>
      <c r="H241" s="9">
        <f t="shared" si="3"/>
        <v>7200</v>
      </c>
    </row>
    <row r="242" spans="1:8" x14ac:dyDescent="0.3">
      <c r="A242" s="13">
        <v>241</v>
      </c>
      <c r="B242" s="1">
        <v>44437</v>
      </c>
      <c r="C242" s="2" t="s">
        <v>20</v>
      </c>
      <c r="D242" s="2" t="s">
        <v>9</v>
      </c>
      <c r="E242" s="2" t="s">
        <v>17</v>
      </c>
      <c r="F242" s="3">
        <v>5</v>
      </c>
      <c r="G242" s="3">
        <v>1500</v>
      </c>
      <c r="H242" s="9">
        <f t="shared" si="3"/>
        <v>7500</v>
      </c>
    </row>
    <row r="243" spans="1:8" x14ac:dyDescent="0.3">
      <c r="A243" s="13">
        <v>242</v>
      </c>
      <c r="B243" s="1">
        <v>44438</v>
      </c>
      <c r="C243" s="2" t="s">
        <v>20</v>
      </c>
      <c r="D243" s="2" t="s">
        <v>9</v>
      </c>
      <c r="E243" s="2" t="s">
        <v>19</v>
      </c>
      <c r="F243" s="3">
        <v>4</v>
      </c>
      <c r="G243" s="3">
        <v>300</v>
      </c>
      <c r="H243" s="9">
        <f t="shared" si="3"/>
        <v>1200</v>
      </c>
    </row>
    <row r="244" spans="1:8" x14ac:dyDescent="0.3">
      <c r="A244" s="13">
        <v>243</v>
      </c>
      <c r="B244" s="1">
        <v>44439</v>
      </c>
      <c r="C244" s="2" t="s">
        <v>8</v>
      </c>
      <c r="D244" s="2" t="s">
        <v>9</v>
      </c>
      <c r="E244" s="2" t="s">
        <v>19</v>
      </c>
      <c r="F244" s="3">
        <v>3</v>
      </c>
      <c r="G244" s="3">
        <v>300</v>
      </c>
      <c r="H244" s="9">
        <f t="shared" si="3"/>
        <v>900</v>
      </c>
    </row>
    <row r="245" spans="1:8" x14ac:dyDescent="0.3">
      <c r="A245" s="13">
        <v>244</v>
      </c>
      <c r="B245" s="1">
        <v>44440</v>
      </c>
      <c r="C245" s="2" t="s">
        <v>8</v>
      </c>
      <c r="D245" s="2" t="s">
        <v>12</v>
      </c>
      <c r="E245" s="2" t="s">
        <v>21</v>
      </c>
      <c r="F245" s="3">
        <v>2</v>
      </c>
      <c r="G245" s="3">
        <v>190</v>
      </c>
      <c r="H245" s="9">
        <f t="shared" si="3"/>
        <v>380</v>
      </c>
    </row>
    <row r="246" spans="1:8" x14ac:dyDescent="0.3">
      <c r="A246" s="13">
        <v>245</v>
      </c>
      <c r="B246" s="1">
        <v>44441</v>
      </c>
      <c r="C246" s="2" t="s">
        <v>8</v>
      </c>
      <c r="D246" s="2" t="s">
        <v>22</v>
      </c>
      <c r="E246" s="2" t="s">
        <v>10</v>
      </c>
      <c r="F246" s="3">
        <v>2</v>
      </c>
      <c r="G246" s="3">
        <v>210</v>
      </c>
      <c r="H246" s="9">
        <f t="shared" si="3"/>
        <v>420</v>
      </c>
    </row>
    <row r="247" spans="1:8" x14ac:dyDescent="0.3">
      <c r="A247" s="13">
        <v>246</v>
      </c>
      <c r="B247" s="1">
        <v>44442</v>
      </c>
      <c r="C247" s="2" t="s">
        <v>8</v>
      </c>
      <c r="D247" s="2" t="s">
        <v>23</v>
      </c>
      <c r="E247" s="2" t="s">
        <v>13</v>
      </c>
      <c r="F247" s="3">
        <v>7</v>
      </c>
      <c r="G247" s="3">
        <v>2100</v>
      </c>
      <c r="H247" s="9">
        <f t="shared" si="3"/>
        <v>14700</v>
      </c>
    </row>
    <row r="248" spans="1:8" x14ac:dyDescent="0.3">
      <c r="A248" s="13">
        <v>247</v>
      </c>
      <c r="B248" s="1">
        <v>44443</v>
      </c>
      <c r="C248" s="2" t="s">
        <v>8</v>
      </c>
      <c r="D248" s="2" t="s">
        <v>9</v>
      </c>
      <c r="E248" s="2" t="s">
        <v>15</v>
      </c>
      <c r="F248" s="3">
        <v>6</v>
      </c>
      <c r="G248" s="3">
        <v>1200</v>
      </c>
      <c r="H248" s="9">
        <f t="shared" si="3"/>
        <v>7200</v>
      </c>
    </row>
    <row r="249" spans="1:8" x14ac:dyDescent="0.3">
      <c r="A249" s="13">
        <v>248</v>
      </c>
      <c r="B249" s="1">
        <v>44444</v>
      </c>
      <c r="C249" s="2" t="s">
        <v>8</v>
      </c>
      <c r="D249" s="2" t="s">
        <v>12</v>
      </c>
      <c r="E249" s="2" t="s">
        <v>17</v>
      </c>
      <c r="F249" s="3">
        <v>5</v>
      </c>
      <c r="G249" s="3">
        <v>1500</v>
      </c>
      <c r="H249" s="9">
        <f t="shared" si="3"/>
        <v>7500</v>
      </c>
    </row>
    <row r="250" spans="1:8" x14ac:dyDescent="0.3">
      <c r="A250" s="13">
        <v>249</v>
      </c>
      <c r="B250" s="1">
        <v>44445</v>
      </c>
      <c r="C250" s="2" t="s">
        <v>8</v>
      </c>
      <c r="D250" s="2" t="s">
        <v>22</v>
      </c>
      <c r="E250" s="2" t="s">
        <v>19</v>
      </c>
      <c r="F250" s="3">
        <v>4</v>
      </c>
      <c r="G250" s="3">
        <v>300</v>
      </c>
      <c r="H250" s="9">
        <f t="shared" si="3"/>
        <v>1200</v>
      </c>
    </row>
    <row r="251" spans="1:8" x14ac:dyDescent="0.3">
      <c r="A251" s="13">
        <v>250</v>
      </c>
      <c r="B251" s="1">
        <v>44446</v>
      </c>
      <c r="C251" s="2" t="s">
        <v>8</v>
      </c>
      <c r="D251" s="2" t="s">
        <v>23</v>
      </c>
      <c r="E251" s="2" t="s">
        <v>19</v>
      </c>
      <c r="F251" s="3">
        <v>3</v>
      </c>
      <c r="G251" s="3">
        <v>300</v>
      </c>
      <c r="H251" s="9">
        <f t="shared" si="3"/>
        <v>900</v>
      </c>
    </row>
    <row r="252" spans="1:8" x14ac:dyDescent="0.3">
      <c r="A252" s="13">
        <v>251</v>
      </c>
      <c r="B252" s="1">
        <v>44447</v>
      </c>
      <c r="C252" s="2" t="s">
        <v>11</v>
      </c>
      <c r="D252" s="2" t="s">
        <v>12</v>
      </c>
      <c r="E252" s="2" t="s">
        <v>21</v>
      </c>
      <c r="F252" s="3">
        <v>2</v>
      </c>
      <c r="G252" s="3">
        <v>190</v>
      </c>
      <c r="H252" s="9">
        <f t="shared" si="3"/>
        <v>380</v>
      </c>
    </row>
    <row r="253" spans="1:8" x14ac:dyDescent="0.3">
      <c r="A253" s="13">
        <v>252</v>
      </c>
      <c r="B253" s="1">
        <v>44448</v>
      </c>
      <c r="C253" s="2" t="s">
        <v>11</v>
      </c>
      <c r="D253" s="2" t="s">
        <v>9</v>
      </c>
      <c r="E253" s="2" t="s">
        <v>10</v>
      </c>
      <c r="F253" s="3">
        <v>2</v>
      </c>
      <c r="G253" s="3">
        <v>210</v>
      </c>
      <c r="H253" s="9">
        <f t="shared" si="3"/>
        <v>420</v>
      </c>
    </row>
    <row r="254" spans="1:8" x14ac:dyDescent="0.3">
      <c r="A254" s="13">
        <v>253</v>
      </c>
      <c r="B254" s="1">
        <v>44449</v>
      </c>
      <c r="C254" s="2" t="s">
        <v>11</v>
      </c>
      <c r="D254" s="2" t="s">
        <v>22</v>
      </c>
      <c r="E254" s="2" t="s">
        <v>13</v>
      </c>
      <c r="F254" s="3">
        <v>7</v>
      </c>
      <c r="G254" s="3">
        <v>2100</v>
      </c>
      <c r="H254" s="9">
        <f t="shared" si="3"/>
        <v>14700</v>
      </c>
    </row>
    <row r="255" spans="1:8" x14ac:dyDescent="0.3">
      <c r="A255" s="13">
        <v>254</v>
      </c>
      <c r="B255" s="1">
        <v>44450</v>
      </c>
      <c r="C255" s="2" t="s">
        <v>11</v>
      </c>
      <c r="D255" s="2" t="s">
        <v>23</v>
      </c>
      <c r="E255" s="2" t="s">
        <v>15</v>
      </c>
      <c r="F255" s="3">
        <v>6</v>
      </c>
      <c r="G255" s="3">
        <v>1200</v>
      </c>
      <c r="H255" s="9">
        <f t="shared" si="3"/>
        <v>7200</v>
      </c>
    </row>
    <row r="256" spans="1:8" x14ac:dyDescent="0.3">
      <c r="A256" s="13">
        <v>255</v>
      </c>
      <c r="B256" s="1">
        <v>44451</v>
      </c>
      <c r="C256" s="2" t="s">
        <v>11</v>
      </c>
      <c r="D256" s="2" t="s">
        <v>12</v>
      </c>
      <c r="E256" s="2" t="s">
        <v>17</v>
      </c>
      <c r="F256" s="3">
        <v>5</v>
      </c>
      <c r="G256" s="3">
        <v>1500</v>
      </c>
      <c r="H256" s="9">
        <f t="shared" si="3"/>
        <v>7500</v>
      </c>
    </row>
    <row r="257" spans="1:8" x14ac:dyDescent="0.3">
      <c r="A257" s="13">
        <v>256</v>
      </c>
      <c r="B257" s="1">
        <v>44452</v>
      </c>
      <c r="C257" s="2" t="s">
        <v>11</v>
      </c>
      <c r="D257" s="2" t="s">
        <v>9</v>
      </c>
      <c r="E257" s="2" t="s">
        <v>19</v>
      </c>
      <c r="F257" s="3">
        <v>4</v>
      </c>
      <c r="G257" s="3">
        <v>300</v>
      </c>
      <c r="H257" s="9">
        <f t="shared" si="3"/>
        <v>1200</v>
      </c>
    </row>
    <row r="258" spans="1:8" x14ac:dyDescent="0.3">
      <c r="A258" s="13">
        <v>257</v>
      </c>
      <c r="B258" s="1">
        <v>44453</v>
      </c>
      <c r="C258" s="2" t="s">
        <v>11</v>
      </c>
      <c r="D258" s="2" t="s">
        <v>22</v>
      </c>
      <c r="E258" s="2" t="s">
        <v>10</v>
      </c>
      <c r="F258" s="3">
        <v>7</v>
      </c>
      <c r="G258" s="3">
        <v>210</v>
      </c>
      <c r="H258" s="9">
        <f t="shared" si="3"/>
        <v>1470</v>
      </c>
    </row>
    <row r="259" spans="1:8" x14ac:dyDescent="0.3">
      <c r="A259" s="13">
        <v>258</v>
      </c>
      <c r="B259" s="1">
        <v>44454</v>
      </c>
      <c r="C259" s="2" t="s">
        <v>11</v>
      </c>
      <c r="D259" s="2" t="s">
        <v>23</v>
      </c>
      <c r="E259" s="2" t="s">
        <v>13</v>
      </c>
      <c r="F259" s="3">
        <v>6</v>
      </c>
      <c r="G259" s="3">
        <v>2100</v>
      </c>
      <c r="H259" s="9">
        <f t="shared" ref="H259:H322" si="4">F259*G259</f>
        <v>12600</v>
      </c>
    </row>
    <row r="260" spans="1:8" x14ac:dyDescent="0.3">
      <c r="A260" s="13">
        <v>259</v>
      </c>
      <c r="B260" s="1">
        <v>44455</v>
      </c>
      <c r="C260" s="2" t="s">
        <v>14</v>
      </c>
      <c r="D260" s="2" t="s">
        <v>23</v>
      </c>
      <c r="E260" s="2" t="s">
        <v>15</v>
      </c>
      <c r="F260" s="3">
        <v>5</v>
      </c>
      <c r="G260" s="3">
        <v>1200</v>
      </c>
      <c r="H260" s="9">
        <f t="shared" si="4"/>
        <v>6000</v>
      </c>
    </row>
    <row r="261" spans="1:8" x14ac:dyDescent="0.3">
      <c r="A261" s="13">
        <v>260</v>
      </c>
      <c r="B261" s="1">
        <v>44456</v>
      </c>
      <c r="C261" s="2" t="s">
        <v>16</v>
      </c>
      <c r="D261" s="2" t="s">
        <v>23</v>
      </c>
      <c r="E261" s="2" t="s">
        <v>17</v>
      </c>
      <c r="F261" s="3">
        <v>4</v>
      </c>
      <c r="G261" s="3">
        <v>1500</v>
      </c>
      <c r="H261" s="9">
        <f t="shared" si="4"/>
        <v>6000</v>
      </c>
    </row>
    <row r="262" spans="1:8" x14ac:dyDescent="0.3">
      <c r="A262" s="13">
        <v>261</v>
      </c>
      <c r="B262" s="1">
        <v>44457</v>
      </c>
      <c r="C262" s="2" t="s">
        <v>18</v>
      </c>
      <c r="D262" s="2" t="s">
        <v>23</v>
      </c>
      <c r="E262" s="2" t="s">
        <v>19</v>
      </c>
      <c r="F262" s="3">
        <v>3</v>
      </c>
      <c r="G262" s="3">
        <v>300</v>
      </c>
      <c r="H262" s="9">
        <f t="shared" si="4"/>
        <v>900</v>
      </c>
    </row>
    <row r="263" spans="1:8" x14ac:dyDescent="0.3">
      <c r="A263" s="13">
        <v>262</v>
      </c>
      <c r="B263" s="1">
        <v>44458</v>
      </c>
      <c r="C263" s="2" t="s">
        <v>20</v>
      </c>
      <c r="D263" s="2" t="s">
        <v>23</v>
      </c>
      <c r="E263" s="2" t="s">
        <v>21</v>
      </c>
      <c r="F263" s="3">
        <v>2</v>
      </c>
      <c r="G263" s="3">
        <v>190</v>
      </c>
      <c r="H263" s="9">
        <f t="shared" si="4"/>
        <v>380</v>
      </c>
    </row>
    <row r="264" spans="1:8" x14ac:dyDescent="0.3">
      <c r="A264" s="13">
        <v>263</v>
      </c>
      <c r="B264" s="1">
        <v>44459</v>
      </c>
      <c r="C264" s="2" t="s">
        <v>20</v>
      </c>
      <c r="D264" s="2" t="s">
        <v>9</v>
      </c>
      <c r="E264" s="2" t="s">
        <v>10</v>
      </c>
      <c r="F264" s="3">
        <v>2</v>
      </c>
      <c r="G264" s="3">
        <v>210</v>
      </c>
      <c r="H264" s="9">
        <f t="shared" si="4"/>
        <v>420</v>
      </c>
    </row>
    <row r="265" spans="1:8" x14ac:dyDescent="0.3">
      <c r="A265" s="13">
        <v>264</v>
      </c>
      <c r="B265" s="1">
        <v>44460</v>
      </c>
      <c r="C265" s="2" t="s">
        <v>20</v>
      </c>
      <c r="D265" s="2" t="s">
        <v>12</v>
      </c>
      <c r="E265" s="2" t="s">
        <v>13</v>
      </c>
      <c r="F265" s="3">
        <v>7</v>
      </c>
      <c r="G265" s="3">
        <v>2100</v>
      </c>
      <c r="H265" s="9">
        <f t="shared" si="4"/>
        <v>14700</v>
      </c>
    </row>
    <row r="266" spans="1:8" x14ac:dyDescent="0.3">
      <c r="A266" s="13">
        <v>265</v>
      </c>
      <c r="B266" s="1">
        <v>44461</v>
      </c>
      <c r="C266" s="2" t="s">
        <v>20</v>
      </c>
      <c r="D266" s="2" t="s">
        <v>22</v>
      </c>
      <c r="E266" s="2" t="s">
        <v>15</v>
      </c>
      <c r="F266" s="3">
        <v>6</v>
      </c>
      <c r="G266" s="3">
        <v>1200</v>
      </c>
      <c r="H266" s="9">
        <f t="shared" si="4"/>
        <v>7200</v>
      </c>
    </row>
    <row r="267" spans="1:8" x14ac:dyDescent="0.3">
      <c r="A267" s="13">
        <v>266</v>
      </c>
      <c r="B267" s="1">
        <v>44462</v>
      </c>
      <c r="C267" s="2" t="s">
        <v>20</v>
      </c>
      <c r="D267" s="2" t="s">
        <v>23</v>
      </c>
      <c r="E267" s="2" t="s">
        <v>17</v>
      </c>
      <c r="F267" s="3">
        <v>5</v>
      </c>
      <c r="G267" s="3">
        <v>1500</v>
      </c>
      <c r="H267" s="9">
        <f t="shared" si="4"/>
        <v>7500</v>
      </c>
    </row>
    <row r="268" spans="1:8" x14ac:dyDescent="0.3">
      <c r="A268" s="13">
        <v>267</v>
      </c>
      <c r="B268" s="1">
        <v>44463</v>
      </c>
      <c r="C268" s="2" t="s">
        <v>20</v>
      </c>
      <c r="D268" s="2" t="s">
        <v>9</v>
      </c>
      <c r="E268" s="2" t="s">
        <v>13</v>
      </c>
      <c r="F268" s="3">
        <v>7</v>
      </c>
      <c r="G268" s="3">
        <v>2100</v>
      </c>
      <c r="H268" s="9">
        <f t="shared" si="4"/>
        <v>14700</v>
      </c>
    </row>
    <row r="269" spans="1:8" x14ac:dyDescent="0.3">
      <c r="A269" s="13">
        <v>268</v>
      </c>
      <c r="B269" s="1">
        <v>44464</v>
      </c>
      <c r="C269" s="2" t="s">
        <v>20</v>
      </c>
      <c r="D269" s="2" t="s">
        <v>12</v>
      </c>
      <c r="E269" s="2" t="s">
        <v>13</v>
      </c>
      <c r="F269" s="3">
        <v>7</v>
      </c>
      <c r="G269" s="3">
        <v>2100</v>
      </c>
      <c r="H269" s="9">
        <f t="shared" si="4"/>
        <v>14700</v>
      </c>
    </row>
    <row r="270" spans="1:8" x14ac:dyDescent="0.3">
      <c r="A270" s="13">
        <v>269</v>
      </c>
      <c r="B270" s="1">
        <v>44465</v>
      </c>
      <c r="C270" s="2" t="s">
        <v>20</v>
      </c>
      <c r="D270" s="2" t="s">
        <v>22</v>
      </c>
      <c r="E270" s="2" t="s">
        <v>13</v>
      </c>
      <c r="F270" s="3">
        <v>7</v>
      </c>
      <c r="G270" s="3">
        <v>2100</v>
      </c>
      <c r="H270" s="9">
        <f t="shared" si="4"/>
        <v>14700</v>
      </c>
    </row>
    <row r="271" spans="1:8" x14ac:dyDescent="0.3">
      <c r="A271" s="13">
        <v>270</v>
      </c>
      <c r="B271" s="1">
        <v>44466</v>
      </c>
      <c r="C271" s="2" t="s">
        <v>20</v>
      </c>
      <c r="D271" s="2" t="s">
        <v>23</v>
      </c>
      <c r="E271" s="2" t="s">
        <v>13</v>
      </c>
      <c r="F271" s="3">
        <v>7</v>
      </c>
      <c r="G271" s="3">
        <v>2100</v>
      </c>
      <c r="H271" s="9">
        <f t="shared" si="4"/>
        <v>14700</v>
      </c>
    </row>
    <row r="272" spans="1:8" x14ac:dyDescent="0.3">
      <c r="A272" s="13">
        <v>271</v>
      </c>
      <c r="B272" s="1">
        <v>44467</v>
      </c>
      <c r="C272" s="2" t="s">
        <v>8</v>
      </c>
      <c r="D272" s="2" t="s">
        <v>9</v>
      </c>
      <c r="E272" s="2" t="s">
        <v>13</v>
      </c>
      <c r="F272" s="3">
        <v>7</v>
      </c>
      <c r="G272" s="3">
        <v>2100</v>
      </c>
      <c r="H272" s="9">
        <f t="shared" si="4"/>
        <v>14700</v>
      </c>
    </row>
    <row r="273" spans="1:8" x14ac:dyDescent="0.3">
      <c r="A273" s="13">
        <v>272</v>
      </c>
      <c r="B273" s="1">
        <v>44468</v>
      </c>
      <c r="C273" s="2" t="s">
        <v>11</v>
      </c>
      <c r="D273" s="2" t="s">
        <v>12</v>
      </c>
      <c r="E273" s="2" t="s">
        <v>13</v>
      </c>
      <c r="F273" s="3">
        <v>7</v>
      </c>
      <c r="G273" s="3">
        <v>2100</v>
      </c>
      <c r="H273" s="9">
        <f t="shared" si="4"/>
        <v>14700</v>
      </c>
    </row>
    <row r="274" spans="1:8" x14ac:dyDescent="0.3">
      <c r="A274" s="13">
        <v>273</v>
      </c>
      <c r="B274" s="1">
        <v>44469</v>
      </c>
      <c r="C274" s="2" t="s">
        <v>14</v>
      </c>
      <c r="D274" s="2" t="s">
        <v>9</v>
      </c>
      <c r="E274" s="2" t="s">
        <v>13</v>
      </c>
      <c r="F274" s="3">
        <v>7</v>
      </c>
      <c r="G274" s="3">
        <v>2100</v>
      </c>
      <c r="H274" s="9">
        <f t="shared" si="4"/>
        <v>14700</v>
      </c>
    </row>
    <row r="275" spans="1:8" x14ac:dyDescent="0.3">
      <c r="A275" s="13">
        <v>274</v>
      </c>
      <c r="B275" s="1">
        <v>44470</v>
      </c>
      <c r="C275" s="2" t="s">
        <v>16</v>
      </c>
      <c r="D275" s="2" t="s">
        <v>12</v>
      </c>
      <c r="E275" s="2" t="s">
        <v>13</v>
      </c>
      <c r="F275" s="3">
        <v>7</v>
      </c>
      <c r="G275" s="3">
        <v>2100</v>
      </c>
      <c r="H275" s="9">
        <f t="shared" si="4"/>
        <v>14700</v>
      </c>
    </row>
    <row r="276" spans="1:8" x14ac:dyDescent="0.3">
      <c r="A276" s="13">
        <v>275</v>
      </c>
      <c r="B276" s="1">
        <v>44471</v>
      </c>
      <c r="C276" s="2" t="s">
        <v>18</v>
      </c>
      <c r="D276" s="2" t="s">
        <v>9</v>
      </c>
      <c r="E276" s="2" t="s">
        <v>13</v>
      </c>
      <c r="F276" s="3">
        <v>7</v>
      </c>
      <c r="G276" s="3">
        <v>2100</v>
      </c>
      <c r="H276" s="9">
        <f t="shared" si="4"/>
        <v>14700</v>
      </c>
    </row>
    <row r="277" spans="1:8" x14ac:dyDescent="0.3">
      <c r="A277" s="13">
        <v>276</v>
      </c>
      <c r="B277" s="1">
        <v>44472</v>
      </c>
      <c r="C277" s="2" t="s">
        <v>20</v>
      </c>
      <c r="D277" s="2" t="s">
        <v>9</v>
      </c>
      <c r="E277" s="2" t="s">
        <v>13</v>
      </c>
      <c r="F277" s="3">
        <v>7</v>
      </c>
      <c r="G277" s="3">
        <v>2100</v>
      </c>
      <c r="H277" s="9">
        <f t="shared" si="4"/>
        <v>14700</v>
      </c>
    </row>
    <row r="278" spans="1:8" x14ac:dyDescent="0.3">
      <c r="A278" s="13">
        <v>277</v>
      </c>
      <c r="B278" s="1">
        <v>44473</v>
      </c>
      <c r="C278" s="2" t="s">
        <v>8</v>
      </c>
      <c r="D278" s="2" t="s">
        <v>9</v>
      </c>
      <c r="E278" s="2" t="s">
        <v>13</v>
      </c>
      <c r="F278" s="3">
        <v>7</v>
      </c>
      <c r="G278" s="3">
        <v>2100</v>
      </c>
      <c r="H278" s="9">
        <f t="shared" si="4"/>
        <v>14700</v>
      </c>
    </row>
    <row r="279" spans="1:8" x14ac:dyDescent="0.3">
      <c r="A279" s="13">
        <v>278</v>
      </c>
      <c r="B279" s="1">
        <v>44474</v>
      </c>
      <c r="C279" s="2" t="s">
        <v>11</v>
      </c>
      <c r="D279" s="2" t="s">
        <v>12</v>
      </c>
      <c r="E279" s="2" t="s">
        <v>15</v>
      </c>
      <c r="F279" s="3">
        <v>5</v>
      </c>
      <c r="G279" s="3">
        <v>1200</v>
      </c>
      <c r="H279" s="9">
        <f t="shared" si="4"/>
        <v>6000</v>
      </c>
    </row>
    <row r="280" spans="1:8" x14ac:dyDescent="0.3">
      <c r="A280" s="13">
        <v>279</v>
      </c>
      <c r="B280" s="1">
        <v>44475</v>
      </c>
      <c r="C280" s="2" t="s">
        <v>14</v>
      </c>
      <c r="D280" s="2" t="s">
        <v>12</v>
      </c>
      <c r="E280" s="2" t="s">
        <v>17</v>
      </c>
      <c r="F280" s="3">
        <v>4</v>
      </c>
      <c r="G280" s="3">
        <v>1500</v>
      </c>
      <c r="H280" s="9">
        <f t="shared" si="4"/>
        <v>6000</v>
      </c>
    </row>
    <row r="281" spans="1:8" x14ac:dyDescent="0.3">
      <c r="A281" s="13">
        <v>280</v>
      </c>
      <c r="B281" s="1">
        <v>44476</v>
      </c>
      <c r="C281" s="2" t="s">
        <v>16</v>
      </c>
      <c r="D281" s="2" t="s">
        <v>9</v>
      </c>
      <c r="E281" s="2" t="s">
        <v>19</v>
      </c>
      <c r="F281" s="3">
        <v>3</v>
      </c>
      <c r="G281" s="3">
        <v>300</v>
      </c>
      <c r="H281" s="9">
        <f t="shared" si="4"/>
        <v>900</v>
      </c>
    </row>
    <row r="282" spans="1:8" x14ac:dyDescent="0.3">
      <c r="A282" s="13">
        <v>281</v>
      </c>
      <c r="B282" s="1">
        <v>44477</v>
      </c>
      <c r="C282" s="2" t="s">
        <v>18</v>
      </c>
      <c r="D282" s="2" t="s">
        <v>9</v>
      </c>
      <c r="E282" s="2" t="s">
        <v>21</v>
      </c>
      <c r="F282" s="3">
        <v>2</v>
      </c>
      <c r="G282" s="3">
        <v>190</v>
      </c>
      <c r="H282" s="9">
        <f t="shared" si="4"/>
        <v>380</v>
      </c>
    </row>
    <row r="283" spans="1:8" x14ac:dyDescent="0.3">
      <c r="A283" s="13">
        <v>282</v>
      </c>
      <c r="B283" s="1">
        <v>44478</v>
      </c>
      <c r="C283" s="2" t="s">
        <v>20</v>
      </c>
      <c r="D283" s="2" t="s">
        <v>12</v>
      </c>
      <c r="E283" s="2" t="s">
        <v>10</v>
      </c>
      <c r="F283" s="3">
        <v>7</v>
      </c>
      <c r="G283" s="3">
        <v>210</v>
      </c>
      <c r="H283" s="9">
        <f t="shared" si="4"/>
        <v>1470</v>
      </c>
    </row>
    <row r="284" spans="1:8" x14ac:dyDescent="0.3">
      <c r="A284" s="13">
        <v>283</v>
      </c>
      <c r="B284" s="1">
        <v>44479</v>
      </c>
      <c r="C284" s="2" t="s">
        <v>20</v>
      </c>
      <c r="D284" s="2" t="s">
        <v>9</v>
      </c>
      <c r="E284" s="2" t="s">
        <v>13</v>
      </c>
      <c r="F284" s="3">
        <v>6</v>
      </c>
      <c r="G284" s="3">
        <v>2100</v>
      </c>
      <c r="H284" s="9">
        <f t="shared" si="4"/>
        <v>12600</v>
      </c>
    </row>
    <row r="285" spans="1:8" x14ac:dyDescent="0.3">
      <c r="A285" s="13">
        <v>284</v>
      </c>
      <c r="B285" s="1">
        <v>44480</v>
      </c>
      <c r="C285" s="2" t="s">
        <v>8</v>
      </c>
      <c r="D285" s="2" t="s">
        <v>9</v>
      </c>
      <c r="E285" s="2" t="s">
        <v>15</v>
      </c>
      <c r="F285" s="3">
        <v>5</v>
      </c>
      <c r="G285" s="3">
        <v>1200</v>
      </c>
      <c r="H285" s="9">
        <f t="shared" si="4"/>
        <v>6000</v>
      </c>
    </row>
    <row r="286" spans="1:8" x14ac:dyDescent="0.3">
      <c r="A286" s="13">
        <v>285</v>
      </c>
      <c r="B286" s="1">
        <v>44481</v>
      </c>
      <c r="C286" s="2" t="s">
        <v>11</v>
      </c>
      <c r="D286" s="2" t="s">
        <v>9</v>
      </c>
      <c r="E286" s="2" t="s">
        <v>17</v>
      </c>
      <c r="F286" s="3">
        <v>4</v>
      </c>
      <c r="G286" s="3">
        <v>1500</v>
      </c>
      <c r="H286" s="9">
        <f t="shared" si="4"/>
        <v>6000</v>
      </c>
    </row>
    <row r="287" spans="1:8" x14ac:dyDescent="0.3">
      <c r="A287" s="13">
        <v>286</v>
      </c>
      <c r="B287" s="1">
        <v>44482</v>
      </c>
      <c r="C287" s="2" t="s">
        <v>14</v>
      </c>
      <c r="D287" s="2" t="s">
        <v>9</v>
      </c>
      <c r="E287" s="2" t="s">
        <v>19</v>
      </c>
      <c r="F287" s="3">
        <v>3</v>
      </c>
      <c r="G287" s="3">
        <v>300</v>
      </c>
      <c r="H287" s="9">
        <f t="shared" si="4"/>
        <v>900</v>
      </c>
    </row>
    <row r="288" spans="1:8" x14ac:dyDescent="0.3">
      <c r="A288" s="13">
        <v>287</v>
      </c>
      <c r="B288" s="1">
        <v>44483</v>
      </c>
      <c r="C288" s="2" t="s">
        <v>16</v>
      </c>
      <c r="D288" s="2" t="s">
        <v>9</v>
      </c>
      <c r="E288" s="2" t="s">
        <v>21</v>
      </c>
      <c r="F288" s="3">
        <v>2</v>
      </c>
      <c r="G288" s="3">
        <v>190</v>
      </c>
      <c r="H288" s="9">
        <f t="shared" si="4"/>
        <v>380</v>
      </c>
    </row>
    <row r="289" spans="1:8" x14ac:dyDescent="0.3">
      <c r="A289" s="13">
        <v>288</v>
      </c>
      <c r="B289" s="1">
        <v>44484</v>
      </c>
      <c r="C289" s="2" t="s">
        <v>18</v>
      </c>
      <c r="D289" s="2" t="s">
        <v>9</v>
      </c>
      <c r="E289" s="2" t="s">
        <v>10</v>
      </c>
      <c r="F289" s="3">
        <v>2</v>
      </c>
      <c r="G289" s="3">
        <v>210</v>
      </c>
      <c r="H289" s="9">
        <f t="shared" si="4"/>
        <v>420</v>
      </c>
    </row>
    <row r="290" spans="1:8" x14ac:dyDescent="0.3">
      <c r="A290" s="13">
        <v>289</v>
      </c>
      <c r="B290" s="1">
        <v>44485</v>
      </c>
      <c r="C290" s="2" t="s">
        <v>20</v>
      </c>
      <c r="D290" s="2" t="s">
        <v>9</v>
      </c>
      <c r="E290" s="2" t="s">
        <v>13</v>
      </c>
      <c r="F290" s="3">
        <v>7</v>
      </c>
      <c r="G290" s="3">
        <v>2100</v>
      </c>
      <c r="H290" s="9">
        <f t="shared" si="4"/>
        <v>14700</v>
      </c>
    </row>
    <row r="291" spans="1:8" x14ac:dyDescent="0.3">
      <c r="A291" s="13">
        <v>290</v>
      </c>
      <c r="B291" s="1">
        <v>44486</v>
      </c>
      <c r="C291" s="2" t="s">
        <v>8</v>
      </c>
      <c r="D291" s="2" t="s">
        <v>9</v>
      </c>
      <c r="E291" s="2" t="s">
        <v>15</v>
      </c>
      <c r="F291" s="3">
        <v>6</v>
      </c>
      <c r="G291" s="3">
        <v>1200</v>
      </c>
      <c r="H291" s="9">
        <f t="shared" si="4"/>
        <v>7200</v>
      </c>
    </row>
    <row r="292" spans="1:8" x14ac:dyDescent="0.3">
      <c r="A292" s="13">
        <v>291</v>
      </c>
      <c r="B292" s="1">
        <v>44487</v>
      </c>
      <c r="C292" s="2" t="s">
        <v>11</v>
      </c>
      <c r="D292" s="2" t="s">
        <v>12</v>
      </c>
      <c r="E292" s="2" t="s">
        <v>17</v>
      </c>
      <c r="F292" s="3">
        <v>5</v>
      </c>
      <c r="G292" s="3">
        <v>1500</v>
      </c>
      <c r="H292" s="9">
        <f t="shared" si="4"/>
        <v>7500</v>
      </c>
    </row>
    <row r="293" spans="1:8" x14ac:dyDescent="0.3">
      <c r="A293" s="13">
        <v>292</v>
      </c>
      <c r="B293" s="1">
        <v>44488</v>
      </c>
      <c r="C293" s="2" t="s">
        <v>14</v>
      </c>
      <c r="D293" s="2" t="s">
        <v>9</v>
      </c>
      <c r="E293" s="2" t="s">
        <v>19</v>
      </c>
      <c r="F293" s="3">
        <v>4</v>
      </c>
      <c r="G293" s="3">
        <v>300</v>
      </c>
      <c r="H293" s="9">
        <f t="shared" si="4"/>
        <v>1200</v>
      </c>
    </row>
    <row r="294" spans="1:8" x14ac:dyDescent="0.3">
      <c r="A294" s="13">
        <v>293</v>
      </c>
      <c r="B294" s="1">
        <v>44489</v>
      </c>
      <c r="C294" s="2" t="s">
        <v>16</v>
      </c>
      <c r="D294" s="2" t="s">
        <v>12</v>
      </c>
      <c r="E294" s="2" t="s">
        <v>17</v>
      </c>
      <c r="F294" s="3">
        <v>5</v>
      </c>
      <c r="G294" s="3">
        <v>1500</v>
      </c>
      <c r="H294" s="9">
        <f t="shared" si="4"/>
        <v>7500</v>
      </c>
    </row>
    <row r="295" spans="1:8" x14ac:dyDescent="0.3">
      <c r="A295" s="13">
        <v>294</v>
      </c>
      <c r="B295" s="1">
        <v>44490</v>
      </c>
      <c r="C295" s="2" t="s">
        <v>18</v>
      </c>
      <c r="D295" s="2" t="s">
        <v>9</v>
      </c>
      <c r="E295" s="2" t="s">
        <v>19</v>
      </c>
      <c r="F295" s="3">
        <v>4</v>
      </c>
      <c r="G295" s="3">
        <v>300</v>
      </c>
      <c r="H295" s="9">
        <f t="shared" si="4"/>
        <v>1200</v>
      </c>
    </row>
    <row r="296" spans="1:8" x14ac:dyDescent="0.3">
      <c r="A296" s="13">
        <v>295</v>
      </c>
      <c r="B296" s="1">
        <v>44491</v>
      </c>
      <c r="C296" s="2" t="s">
        <v>20</v>
      </c>
      <c r="D296" s="2" t="s">
        <v>9</v>
      </c>
      <c r="E296" s="2" t="s">
        <v>17</v>
      </c>
      <c r="F296" s="3">
        <v>5</v>
      </c>
      <c r="G296" s="3">
        <v>1500</v>
      </c>
      <c r="H296" s="9">
        <f t="shared" si="4"/>
        <v>7500</v>
      </c>
    </row>
    <row r="297" spans="1:8" x14ac:dyDescent="0.3">
      <c r="A297" s="13">
        <v>296</v>
      </c>
      <c r="B297" s="1">
        <v>44492</v>
      </c>
      <c r="C297" s="2" t="s">
        <v>20</v>
      </c>
      <c r="D297" s="2" t="s">
        <v>9</v>
      </c>
      <c r="E297" s="2" t="s">
        <v>19</v>
      </c>
      <c r="F297" s="3">
        <v>4</v>
      </c>
      <c r="G297" s="3">
        <v>300</v>
      </c>
      <c r="H297" s="9">
        <f t="shared" si="4"/>
        <v>1200</v>
      </c>
    </row>
    <row r="298" spans="1:8" x14ac:dyDescent="0.3">
      <c r="A298" s="13">
        <v>297</v>
      </c>
      <c r="B298" s="1">
        <v>44493</v>
      </c>
      <c r="C298" s="2" t="s">
        <v>8</v>
      </c>
      <c r="D298" s="2" t="s">
        <v>9</v>
      </c>
      <c r="E298" s="2" t="s">
        <v>17</v>
      </c>
      <c r="F298" s="3">
        <v>5</v>
      </c>
      <c r="G298" s="3">
        <v>1500</v>
      </c>
      <c r="H298" s="9">
        <f t="shared" si="4"/>
        <v>7500</v>
      </c>
    </row>
    <row r="299" spans="1:8" x14ac:dyDescent="0.3">
      <c r="A299" s="13">
        <v>298</v>
      </c>
      <c r="B299" s="1">
        <v>44494</v>
      </c>
      <c r="C299" s="2" t="s">
        <v>8</v>
      </c>
      <c r="D299" s="2" t="s">
        <v>12</v>
      </c>
      <c r="E299" s="2" t="s">
        <v>19</v>
      </c>
      <c r="F299" s="3">
        <v>4</v>
      </c>
      <c r="G299" s="3">
        <v>300</v>
      </c>
      <c r="H299" s="9">
        <f t="shared" si="4"/>
        <v>1200</v>
      </c>
    </row>
    <row r="300" spans="1:8" x14ac:dyDescent="0.3">
      <c r="A300" s="13">
        <v>299</v>
      </c>
      <c r="B300" s="1">
        <v>44495</v>
      </c>
      <c r="C300" s="2" t="s">
        <v>8</v>
      </c>
      <c r="D300" s="2" t="s">
        <v>22</v>
      </c>
      <c r="E300" s="2" t="s">
        <v>17</v>
      </c>
      <c r="F300" s="3">
        <v>5</v>
      </c>
      <c r="G300" s="3">
        <v>1500</v>
      </c>
      <c r="H300" s="9">
        <f t="shared" si="4"/>
        <v>7500</v>
      </c>
    </row>
    <row r="301" spans="1:8" x14ac:dyDescent="0.3">
      <c r="A301" s="13">
        <v>300</v>
      </c>
      <c r="B301" s="1">
        <v>44496</v>
      </c>
      <c r="C301" s="2" t="s">
        <v>8</v>
      </c>
      <c r="D301" s="2" t="s">
        <v>23</v>
      </c>
      <c r="E301" s="2" t="s">
        <v>19</v>
      </c>
      <c r="F301" s="3">
        <v>4</v>
      </c>
      <c r="G301" s="3">
        <v>300</v>
      </c>
      <c r="H301" s="9">
        <f t="shared" si="4"/>
        <v>1200</v>
      </c>
    </row>
    <row r="302" spans="1:8" x14ac:dyDescent="0.3">
      <c r="A302" s="13">
        <v>301</v>
      </c>
      <c r="B302" s="1">
        <v>44497</v>
      </c>
      <c r="C302" s="2" t="s">
        <v>8</v>
      </c>
      <c r="D302" s="2" t="s">
        <v>9</v>
      </c>
      <c r="E302" s="2" t="s">
        <v>17</v>
      </c>
      <c r="F302" s="3">
        <v>5</v>
      </c>
      <c r="G302" s="3">
        <v>1500</v>
      </c>
      <c r="H302" s="9">
        <f t="shared" si="4"/>
        <v>7500</v>
      </c>
    </row>
    <row r="303" spans="1:8" x14ac:dyDescent="0.3">
      <c r="A303" s="13">
        <v>302</v>
      </c>
      <c r="B303" s="1">
        <v>44498</v>
      </c>
      <c r="C303" s="2" t="s">
        <v>8</v>
      </c>
      <c r="D303" s="2" t="s">
        <v>12</v>
      </c>
      <c r="E303" s="2" t="s">
        <v>13</v>
      </c>
      <c r="F303" s="3">
        <v>6</v>
      </c>
      <c r="G303" s="3">
        <v>2100</v>
      </c>
      <c r="H303" s="9">
        <f t="shared" si="4"/>
        <v>12600</v>
      </c>
    </row>
    <row r="304" spans="1:8" x14ac:dyDescent="0.3">
      <c r="A304" s="13">
        <v>303</v>
      </c>
      <c r="B304" s="1">
        <v>44499</v>
      </c>
      <c r="C304" s="2" t="s">
        <v>8</v>
      </c>
      <c r="D304" s="2" t="s">
        <v>22</v>
      </c>
      <c r="E304" s="2" t="s">
        <v>15</v>
      </c>
      <c r="F304" s="3">
        <v>5</v>
      </c>
      <c r="G304" s="3">
        <v>1200</v>
      </c>
      <c r="H304" s="9">
        <f t="shared" si="4"/>
        <v>6000</v>
      </c>
    </row>
    <row r="305" spans="1:8" x14ac:dyDescent="0.3">
      <c r="A305" s="13">
        <v>304</v>
      </c>
      <c r="B305" s="1">
        <v>44500</v>
      </c>
      <c r="C305" s="2" t="s">
        <v>8</v>
      </c>
      <c r="D305" s="2" t="s">
        <v>23</v>
      </c>
      <c r="E305" s="2" t="s">
        <v>17</v>
      </c>
      <c r="F305" s="3">
        <v>4</v>
      </c>
      <c r="G305" s="3">
        <v>1500</v>
      </c>
      <c r="H305" s="9">
        <f t="shared" si="4"/>
        <v>6000</v>
      </c>
    </row>
    <row r="306" spans="1:8" x14ac:dyDescent="0.3">
      <c r="A306" s="13">
        <v>305</v>
      </c>
      <c r="B306" s="1">
        <v>44501</v>
      </c>
      <c r="C306" s="2" t="s">
        <v>11</v>
      </c>
      <c r="D306" s="2" t="s">
        <v>12</v>
      </c>
      <c r="E306" s="2" t="s">
        <v>19</v>
      </c>
      <c r="F306" s="3">
        <v>3</v>
      </c>
      <c r="G306" s="3">
        <v>300</v>
      </c>
      <c r="H306" s="9">
        <f t="shared" si="4"/>
        <v>900</v>
      </c>
    </row>
    <row r="307" spans="1:8" x14ac:dyDescent="0.3">
      <c r="A307" s="13">
        <v>306</v>
      </c>
      <c r="B307" s="1">
        <v>44502</v>
      </c>
      <c r="C307" s="2" t="s">
        <v>11</v>
      </c>
      <c r="D307" s="2" t="s">
        <v>9</v>
      </c>
      <c r="E307" s="2" t="s">
        <v>21</v>
      </c>
      <c r="F307" s="3">
        <v>2</v>
      </c>
      <c r="G307" s="3">
        <v>190</v>
      </c>
      <c r="H307" s="9">
        <f t="shared" si="4"/>
        <v>380</v>
      </c>
    </row>
    <row r="308" spans="1:8" x14ac:dyDescent="0.3">
      <c r="A308" s="13">
        <v>307</v>
      </c>
      <c r="B308" s="1">
        <v>44503</v>
      </c>
      <c r="C308" s="2" t="s">
        <v>11</v>
      </c>
      <c r="D308" s="2" t="s">
        <v>22</v>
      </c>
      <c r="E308" s="2" t="s">
        <v>21</v>
      </c>
      <c r="F308" s="3">
        <v>2</v>
      </c>
      <c r="G308" s="3">
        <v>190</v>
      </c>
      <c r="H308" s="9">
        <f t="shared" si="4"/>
        <v>380</v>
      </c>
    </row>
    <row r="309" spans="1:8" x14ac:dyDescent="0.3">
      <c r="A309" s="13">
        <v>308</v>
      </c>
      <c r="B309" s="1">
        <v>44504</v>
      </c>
      <c r="C309" s="2" t="s">
        <v>11</v>
      </c>
      <c r="D309" s="2" t="s">
        <v>23</v>
      </c>
      <c r="E309" s="2" t="s">
        <v>21</v>
      </c>
      <c r="F309" s="3">
        <v>2</v>
      </c>
      <c r="G309" s="3">
        <v>190</v>
      </c>
      <c r="H309" s="9">
        <f t="shared" si="4"/>
        <v>380</v>
      </c>
    </row>
    <row r="310" spans="1:8" x14ac:dyDescent="0.3">
      <c r="A310" s="13">
        <v>309</v>
      </c>
      <c r="B310" s="1">
        <v>44505</v>
      </c>
      <c r="C310" s="2" t="s">
        <v>11</v>
      </c>
      <c r="D310" s="2" t="s">
        <v>12</v>
      </c>
      <c r="E310" s="2" t="s">
        <v>21</v>
      </c>
      <c r="F310" s="3">
        <v>2</v>
      </c>
      <c r="G310" s="3">
        <v>190</v>
      </c>
      <c r="H310" s="9">
        <f t="shared" si="4"/>
        <v>380</v>
      </c>
    </row>
    <row r="311" spans="1:8" x14ac:dyDescent="0.3">
      <c r="A311" s="13">
        <v>310</v>
      </c>
      <c r="B311" s="1">
        <v>44506</v>
      </c>
      <c r="C311" s="2" t="s">
        <v>11</v>
      </c>
      <c r="D311" s="2" t="s">
        <v>9</v>
      </c>
      <c r="E311" s="2" t="s">
        <v>21</v>
      </c>
      <c r="F311" s="3">
        <v>2</v>
      </c>
      <c r="G311" s="3">
        <v>190</v>
      </c>
      <c r="H311" s="9">
        <f t="shared" si="4"/>
        <v>380</v>
      </c>
    </row>
    <row r="312" spans="1:8" x14ac:dyDescent="0.3">
      <c r="A312" s="13">
        <v>311</v>
      </c>
      <c r="B312" s="1">
        <v>44507</v>
      </c>
      <c r="C312" s="2" t="s">
        <v>11</v>
      </c>
      <c r="D312" s="2" t="s">
        <v>22</v>
      </c>
      <c r="E312" s="2" t="s">
        <v>21</v>
      </c>
      <c r="F312" s="3">
        <v>2</v>
      </c>
      <c r="G312" s="3">
        <v>190</v>
      </c>
      <c r="H312" s="9">
        <f t="shared" si="4"/>
        <v>380</v>
      </c>
    </row>
    <row r="313" spans="1:8" x14ac:dyDescent="0.3">
      <c r="A313" s="13">
        <v>312</v>
      </c>
      <c r="B313" s="1">
        <v>44508</v>
      </c>
      <c r="C313" s="2" t="s">
        <v>11</v>
      </c>
      <c r="D313" s="2" t="s">
        <v>23</v>
      </c>
      <c r="E313" s="2" t="s">
        <v>21</v>
      </c>
      <c r="F313" s="3">
        <v>2</v>
      </c>
      <c r="G313" s="3">
        <v>190</v>
      </c>
      <c r="H313" s="9">
        <f t="shared" si="4"/>
        <v>380</v>
      </c>
    </row>
    <row r="314" spans="1:8" x14ac:dyDescent="0.3">
      <c r="A314" s="13">
        <v>313</v>
      </c>
      <c r="B314" s="1">
        <v>44509</v>
      </c>
      <c r="C314" s="2" t="s">
        <v>14</v>
      </c>
      <c r="D314" s="2" t="s">
        <v>23</v>
      </c>
      <c r="E314" s="2" t="s">
        <v>21</v>
      </c>
      <c r="F314" s="3">
        <v>2</v>
      </c>
      <c r="G314" s="3">
        <v>190</v>
      </c>
      <c r="H314" s="9">
        <f t="shared" si="4"/>
        <v>380</v>
      </c>
    </row>
    <row r="315" spans="1:8" x14ac:dyDescent="0.3">
      <c r="A315" s="13">
        <v>314</v>
      </c>
      <c r="B315" s="1">
        <v>44510</v>
      </c>
      <c r="C315" s="2" t="s">
        <v>16</v>
      </c>
      <c r="D315" s="2" t="s">
        <v>23</v>
      </c>
      <c r="E315" s="2" t="s">
        <v>21</v>
      </c>
      <c r="F315" s="3">
        <v>2</v>
      </c>
      <c r="G315" s="3">
        <v>190</v>
      </c>
      <c r="H315" s="9">
        <f t="shared" si="4"/>
        <v>380</v>
      </c>
    </row>
    <row r="316" spans="1:8" x14ac:dyDescent="0.3">
      <c r="A316" s="13">
        <v>315</v>
      </c>
      <c r="B316" s="1">
        <v>44511</v>
      </c>
      <c r="C316" s="2" t="s">
        <v>18</v>
      </c>
      <c r="D316" s="2" t="s">
        <v>23</v>
      </c>
      <c r="E316" s="2" t="s">
        <v>21</v>
      </c>
      <c r="F316" s="3">
        <v>2</v>
      </c>
      <c r="G316" s="3">
        <v>190</v>
      </c>
      <c r="H316" s="9">
        <f t="shared" si="4"/>
        <v>380</v>
      </c>
    </row>
    <row r="317" spans="1:8" x14ac:dyDescent="0.3">
      <c r="A317" s="13">
        <v>316</v>
      </c>
      <c r="B317" s="1">
        <v>44512</v>
      </c>
      <c r="C317" s="2" t="s">
        <v>20</v>
      </c>
      <c r="D317" s="2" t="s">
        <v>23</v>
      </c>
      <c r="E317" s="2" t="s">
        <v>21</v>
      </c>
      <c r="F317" s="3">
        <v>2</v>
      </c>
      <c r="G317" s="3">
        <v>190</v>
      </c>
      <c r="H317" s="9">
        <f t="shared" si="4"/>
        <v>380</v>
      </c>
    </row>
    <row r="318" spans="1:8" x14ac:dyDescent="0.3">
      <c r="A318" s="13">
        <v>317</v>
      </c>
      <c r="B318" s="1">
        <v>44513</v>
      </c>
      <c r="C318" s="2" t="s">
        <v>20</v>
      </c>
      <c r="D318" s="2" t="s">
        <v>9</v>
      </c>
      <c r="E318" s="2" t="s">
        <v>21</v>
      </c>
      <c r="F318" s="3">
        <v>2</v>
      </c>
      <c r="G318" s="3">
        <v>190</v>
      </c>
      <c r="H318" s="9">
        <f t="shared" si="4"/>
        <v>380</v>
      </c>
    </row>
    <row r="319" spans="1:8" x14ac:dyDescent="0.3">
      <c r="A319" s="13">
        <v>318</v>
      </c>
      <c r="B319" s="1">
        <v>44514</v>
      </c>
      <c r="C319" s="2" t="s">
        <v>20</v>
      </c>
      <c r="D319" s="2" t="s">
        <v>12</v>
      </c>
      <c r="E319" s="2" t="s">
        <v>21</v>
      </c>
      <c r="F319" s="3">
        <v>3</v>
      </c>
      <c r="G319" s="3">
        <v>190</v>
      </c>
      <c r="H319" s="9">
        <f t="shared" si="4"/>
        <v>570</v>
      </c>
    </row>
    <row r="320" spans="1:8" x14ac:dyDescent="0.3">
      <c r="A320" s="13">
        <v>319</v>
      </c>
      <c r="B320" s="1">
        <v>44515</v>
      </c>
      <c r="C320" s="2" t="s">
        <v>20</v>
      </c>
      <c r="D320" s="2" t="s">
        <v>22</v>
      </c>
      <c r="E320" s="2" t="s">
        <v>10</v>
      </c>
      <c r="F320" s="3">
        <v>2</v>
      </c>
      <c r="G320" s="3">
        <v>210</v>
      </c>
      <c r="H320" s="9">
        <f t="shared" si="4"/>
        <v>420</v>
      </c>
    </row>
    <row r="321" spans="1:8" x14ac:dyDescent="0.3">
      <c r="A321" s="13">
        <v>320</v>
      </c>
      <c r="B321" s="1">
        <v>44516</v>
      </c>
      <c r="C321" s="2" t="s">
        <v>20</v>
      </c>
      <c r="D321" s="2" t="s">
        <v>23</v>
      </c>
      <c r="E321" s="2" t="s">
        <v>10</v>
      </c>
      <c r="F321" s="3">
        <v>2</v>
      </c>
      <c r="G321" s="3">
        <v>210</v>
      </c>
      <c r="H321" s="9">
        <f t="shared" si="4"/>
        <v>420</v>
      </c>
    </row>
    <row r="322" spans="1:8" x14ac:dyDescent="0.3">
      <c r="A322" s="13">
        <v>321</v>
      </c>
      <c r="B322" s="1">
        <v>44517</v>
      </c>
      <c r="C322" s="2" t="s">
        <v>20</v>
      </c>
      <c r="D322" s="2" t="s">
        <v>9</v>
      </c>
      <c r="E322" s="2" t="s">
        <v>10</v>
      </c>
      <c r="F322" s="3">
        <v>2</v>
      </c>
      <c r="G322" s="3">
        <v>210</v>
      </c>
      <c r="H322" s="9">
        <f t="shared" si="4"/>
        <v>420</v>
      </c>
    </row>
    <row r="323" spans="1:8" x14ac:dyDescent="0.3">
      <c r="A323" s="13">
        <v>322</v>
      </c>
      <c r="B323" s="1">
        <v>44518</v>
      </c>
      <c r="C323" s="2" t="s">
        <v>20</v>
      </c>
      <c r="D323" s="2" t="s">
        <v>12</v>
      </c>
      <c r="E323" s="2" t="s">
        <v>10</v>
      </c>
      <c r="F323" s="3">
        <v>2</v>
      </c>
      <c r="G323" s="3">
        <v>210</v>
      </c>
      <c r="H323" s="9">
        <f t="shared" ref="H323:H367" si="5">F323*G323</f>
        <v>420</v>
      </c>
    </row>
    <row r="324" spans="1:8" x14ac:dyDescent="0.3">
      <c r="A324" s="13">
        <v>323</v>
      </c>
      <c r="B324" s="1">
        <v>44519</v>
      </c>
      <c r="C324" s="2" t="s">
        <v>20</v>
      </c>
      <c r="D324" s="2" t="s">
        <v>22</v>
      </c>
      <c r="E324" s="2" t="s">
        <v>10</v>
      </c>
      <c r="F324" s="3">
        <v>2</v>
      </c>
      <c r="G324" s="3">
        <v>210</v>
      </c>
      <c r="H324" s="9">
        <f t="shared" si="5"/>
        <v>420</v>
      </c>
    </row>
    <row r="325" spans="1:8" x14ac:dyDescent="0.3">
      <c r="A325" s="13">
        <v>324</v>
      </c>
      <c r="B325" s="1">
        <v>44520</v>
      </c>
      <c r="C325" s="2" t="s">
        <v>20</v>
      </c>
      <c r="D325" s="2" t="s">
        <v>23</v>
      </c>
      <c r="E325" s="2" t="s">
        <v>10</v>
      </c>
      <c r="F325" s="3">
        <v>2</v>
      </c>
      <c r="G325" s="3">
        <v>210</v>
      </c>
      <c r="H325" s="9">
        <f t="shared" si="5"/>
        <v>420</v>
      </c>
    </row>
    <row r="326" spans="1:8" x14ac:dyDescent="0.3">
      <c r="A326" s="13">
        <v>325</v>
      </c>
      <c r="B326" s="1">
        <v>44521</v>
      </c>
      <c r="C326" s="2" t="s">
        <v>8</v>
      </c>
      <c r="D326" s="2" t="s">
        <v>9</v>
      </c>
      <c r="E326" s="2" t="s">
        <v>10</v>
      </c>
      <c r="F326" s="3">
        <v>2</v>
      </c>
      <c r="G326" s="3">
        <v>210</v>
      </c>
      <c r="H326" s="9">
        <f t="shared" si="5"/>
        <v>420</v>
      </c>
    </row>
    <row r="327" spans="1:8" x14ac:dyDescent="0.3">
      <c r="A327" s="13">
        <v>326</v>
      </c>
      <c r="B327" s="1">
        <v>44522</v>
      </c>
      <c r="C327" s="2" t="s">
        <v>11</v>
      </c>
      <c r="D327" s="2" t="s">
        <v>12</v>
      </c>
      <c r="E327" s="2" t="s">
        <v>10</v>
      </c>
      <c r="F327" s="3">
        <v>2</v>
      </c>
      <c r="G327" s="3">
        <v>210</v>
      </c>
      <c r="H327" s="9">
        <f t="shared" si="5"/>
        <v>420</v>
      </c>
    </row>
    <row r="328" spans="1:8" x14ac:dyDescent="0.3">
      <c r="A328" s="13">
        <v>327</v>
      </c>
      <c r="B328" s="1">
        <v>44523</v>
      </c>
      <c r="C328" s="2" t="s">
        <v>14</v>
      </c>
      <c r="D328" s="2" t="s">
        <v>9</v>
      </c>
      <c r="E328" s="2" t="s">
        <v>10</v>
      </c>
      <c r="F328" s="3">
        <v>2</v>
      </c>
      <c r="G328" s="3">
        <v>210</v>
      </c>
      <c r="H328" s="9">
        <f t="shared" si="5"/>
        <v>420</v>
      </c>
    </row>
    <row r="329" spans="1:8" x14ac:dyDescent="0.3">
      <c r="A329" s="13">
        <v>328</v>
      </c>
      <c r="B329" s="1">
        <v>44524</v>
      </c>
      <c r="C329" s="2" t="s">
        <v>16</v>
      </c>
      <c r="D329" s="2" t="s">
        <v>12</v>
      </c>
      <c r="E329" s="2" t="s">
        <v>10</v>
      </c>
      <c r="F329" s="3">
        <v>2</v>
      </c>
      <c r="G329" s="3">
        <v>210</v>
      </c>
      <c r="H329" s="9">
        <f t="shared" si="5"/>
        <v>420</v>
      </c>
    </row>
    <row r="330" spans="1:8" x14ac:dyDescent="0.3">
      <c r="A330" s="13">
        <v>329</v>
      </c>
      <c r="B330" s="1">
        <v>44525</v>
      </c>
      <c r="C330" s="2" t="s">
        <v>18</v>
      </c>
      <c r="D330" s="2" t="s">
        <v>9</v>
      </c>
      <c r="E330" s="2" t="s">
        <v>10</v>
      </c>
      <c r="F330" s="3">
        <v>2</v>
      </c>
      <c r="G330" s="3">
        <v>210</v>
      </c>
      <c r="H330" s="9">
        <f t="shared" si="5"/>
        <v>420</v>
      </c>
    </row>
    <row r="331" spans="1:8" x14ac:dyDescent="0.3">
      <c r="A331" s="13">
        <v>330</v>
      </c>
      <c r="B331" s="1">
        <v>44526</v>
      </c>
      <c r="C331" s="2" t="s">
        <v>20</v>
      </c>
      <c r="D331" s="2" t="s">
        <v>9</v>
      </c>
      <c r="E331" s="2" t="s">
        <v>10</v>
      </c>
      <c r="F331" s="3">
        <v>2</v>
      </c>
      <c r="G331" s="3">
        <v>210</v>
      </c>
      <c r="H331" s="9">
        <f t="shared" si="5"/>
        <v>420</v>
      </c>
    </row>
    <row r="332" spans="1:8" x14ac:dyDescent="0.3">
      <c r="A332" s="13">
        <v>331</v>
      </c>
      <c r="B332" s="1">
        <v>44527</v>
      </c>
      <c r="C332" s="2" t="s">
        <v>8</v>
      </c>
      <c r="D332" s="2" t="s">
        <v>9</v>
      </c>
      <c r="E332" s="2" t="s">
        <v>21</v>
      </c>
      <c r="F332" s="3">
        <v>2</v>
      </c>
      <c r="G332" s="3">
        <v>190</v>
      </c>
      <c r="H332" s="9">
        <f t="shared" si="5"/>
        <v>380</v>
      </c>
    </row>
    <row r="333" spans="1:8" x14ac:dyDescent="0.3">
      <c r="A333" s="13">
        <v>332</v>
      </c>
      <c r="B333" s="1">
        <v>44528</v>
      </c>
      <c r="C333" s="2" t="s">
        <v>11</v>
      </c>
      <c r="D333" s="2" t="s">
        <v>12</v>
      </c>
      <c r="E333" s="2" t="s">
        <v>10</v>
      </c>
      <c r="F333" s="3">
        <v>7</v>
      </c>
      <c r="G333" s="3">
        <v>210</v>
      </c>
      <c r="H333" s="9">
        <f t="shared" si="5"/>
        <v>1470</v>
      </c>
    </row>
    <row r="334" spans="1:8" x14ac:dyDescent="0.3">
      <c r="A334" s="13">
        <v>333</v>
      </c>
      <c r="B334" s="1">
        <v>44529</v>
      </c>
      <c r="C334" s="2" t="s">
        <v>14</v>
      </c>
      <c r="D334" s="2" t="s">
        <v>12</v>
      </c>
      <c r="E334" s="2" t="s">
        <v>13</v>
      </c>
      <c r="F334" s="3">
        <v>6</v>
      </c>
      <c r="G334" s="3">
        <v>2100</v>
      </c>
      <c r="H334" s="9">
        <f t="shared" si="5"/>
        <v>12600</v>
      </c>
    </row>
    <row r="335" spans="1:8" x14ac:dyDescent="0.3">
      <c r="A335" s="13">
        <v>334</v>
      </c>
      <c r="B335" s="1">
        <v>44530</v>
      </c>
      <c r="C335" s="2" t="s">
        <v>16</v>
      </c>
      <c r="D335" s="2" t="s">
        <v>9</v>
      </c>
      <c r="E335" s="2" t="s">
        <v>15</v>
      </c>
      <c r="F335" s="3">
        <v>5</v>
      </c>
      <c r="G335" s="3">
        <v>1200</v>
      </c>
      <c r="H335" s="9">
        <f t="shared" si="5"/>
        <v>6000</v>
      </c>
    </row>
    <row r="336" spans="1:8" x14ac:dyDescent="0.3">
      <c r="A336" s="13">
        <v>335</v>
      </c>
      <c r="B336" s="1">
        <v>44531</v>
      </c>
      <c r="C336" s="2" t="s">
        <v>18</v>
      </c>
      <c r="D336" s="2" t="s">
        <v>9</v>
      </c>
      <c r="E336" s="2" t="s">
        <v>17</v>
      </c>
      <c r="F336" s="3">
        <v>4</v>
      </c>
      <c r="G336" s="3">
        <v>1500</v>
      </c>
      <c r="H336" s="9">
        <f t="shared" si="5"/>
        <v>6000</v>
      </c>
    </row>
    <row r="337" spans="1:8" x14ac:dyDescent="0.3">
      <c r="A337" s="13">
        <v>336</v>
      </c>
      <c r="B337" s="1">
        <v>44532</v>
      </c>
      <c r="C337" s="2" t="s">
        <v>20</v>
      </c>
      <c r="D337" s="2" t="s">
        <v>12</v>
      </c>
      <c r="E337" s="2" t="s">
        <v>17</v>
      </c>
      <c r="F337" s="3">
        <v>4</v>
      </c>
      <c r="G337" s="3">
        <v>1500</v>
      </c>
      <c r="H337" s="9">
        <f t="shared" si="5"/>
        <v>6000</v>
      </c>
    </row>
    <row r="338" spans="1:8" x14ac:dyDescent="0.3">
      <c r="A338" s="13">
        <v>337</v>
      </c>
      <c r="B338" s="1">
        <v>44533</v>
      </c>
      <c r="C338" s="2" t="s">
        <v>20</v>
      </c>
      <c r="D338" s="2" t="s">
        <v>9</v>
      </c>
      <c r="E338" s="2" t="s">
        <v>17</v>
      </c>
      <c r="F338" s="3">
        <v>4</v>
      </c>
      <c r="G338" s="3">
        <v>1500</v>
      </c>
      <c r="H338" s="9">
        <f t="shared" si="5"/>
        <v>6000</v>
      </c>
    </row>
    <row r="339" spans="1:8" x14ac:dyDescent="0.3">
      <c r="A339" s="13">
        <v>338</v>
      </c>
      <c r="B339" s="1">
        <v>44534</v>
      </c>
      <c r="C339" s="2" t="s">
        <v>8</v>
      </c>
      <c r="D339" s="2" t="s">
        <v>9</v>
      </c>
      <c r="E339" s="2" t="s">
        <v>17</v>
      </c>
      <c r="F339" s="3">
        <v>4</v>
      </c>
      <c r="G339" s="3">
        <v>1500</v>
      </c>
      <c r="H339" s="9">
        <f t="shared" si="5"/>
        <v>6000</v>
      </c>
    </row>
    <row r="340" spans="1:8" x14ac:dyDescent="0.3">
      <c r="A340" s="13">
        <v>339</v>
      </c>
      <c r="B340" s="1">
        <v>44535</v>
      </c>
      <c r="C340" s="2" t="s">
        <v>11</v>
      </c>
      <c r="D340" s="2" t="s">
        <v>9</v>
      </c>
      <c r="E340" s="2" t="s">
        <v>17</v>
      </c>
      <c r="F340" s="3">
        <v>4</v>
      </c>
      <c r="G340" s="3">
        <v>1500</v>
      </c>
      <c r="H340" s="9">
        <f t="shared" si="5"/>
        <v>6000</v>
      </c>
    </row>
    <row r="341" spans="1:8" x14ac:dyDescent="0.3">
      <c r="A341" s="13">
        <v>340</v>
      </c>
      <c r="B341" s="1">
        <v>44536</v>
      </c>
      <c r="C341" s="2" t="s">
        <v>14</v>
      </c>
      <c r="D341" s="2" t="s">
        <v>9</v>
      </c>
      <c r="E341" s="2" t="s">
        <v>17</v>
      </c>
      <c r="F341" s="3">
        <v>4</v>
      </c>
      <c r="G341" s="3">
        <v>1500</v>
      </c>
      <c r="H341" s="9">
        <f t="shared" si="5"/>
        <v>6000</v>
      </c>
    </row>
    <row r="342" spans="1:8" x14ac:dyDescent="0.3">
      <c r="A342" s="13">
        <v>341</v>
      </c>
      <c r="B342" s="1">
        <v>44537</v>
      </c>
      <c r="C342" s="2" t="s">
        <v>16</v>
      </c>
      <c r="D342" s="2" t="s">
        <v>9</v>
      </c>
      <c r="E342" s="2" t="s">
        <v>17</v>
      </c>
      <c r="F342" s="3">
        <v>4</v>
      </c>
      <c r="G342" s="3">
        <v>1500</v>
      </c>
      <c r="H342" s="9">
        <f t="shared" si="5"/>
        <v>6000</v>
      </c>
    </row>
    <row r="343" spans="1:8" x14ac:dyDescent="0.3">
      <c r="A343" s="13">
        <v>342</v>
      </c>
      <c r="B343" s="1">
        <v>44538</v>
      </c>
      <c r="C343" s="2" t="s">
        <v>18</v>
      </c>
      <c r="D343" s="2" t="s">
        <v>9</v>
      </c>
      <c r="E343" s="2" t="s">
        <v>17</v>
      </c>
      <c r="F343" s="3">
        <v>4</v>
      </c>
      <c r="G343" s="3">
        <v>1500</v>
      </c>
      <c r="H343" s="9">
        <f t="shared" si="5"/>
        <v>6000</v>
      </c>
    </row>
    <row r="344" spans="1:8" x14ac:dyDescent="0.3">
      <c r="A344" s="13">
        <v>343</v>
      </c>
      <c r="B344" s="1">
        <v>44539</v>
      </c>
      <c r="C344" s="2" t="s">
        <v>20</v>
      </c>
      <c r="D344" s="2" t="s">
        <v>9</v>
      </c>
      <c r="E344" s="2" t="s">
        <v>17</v>
      </c>
      <c r="F344" s="3">
        <v>4</v>
      </c>
      <c r="G344" s="3">
        <v>1500</v>
      </c>
      <c r="H344" s="9">
        <f t="shared" si="5"/>
        <v>6000</v>
      </c>
    </row>
    <row r="345" spans="1:8" x14ac:dyDescent="0.3">
      <c r="A345" s="13">
        <v>344</v>
      </c>
      <c r="B345" s="1">
        <v>44540</v>
      </c>
      <c r="C345" s="2" t="s">
        <v>8</v>
      </c>
      <c r="D345" s="2" t="s">
        <v>9</v>
      </c>
      <c r="E345" s="2" t="s">
        <v>10</v>
      </c>
      <c r="F345" s="3">
        <v>2</v>
      </c>
      <c r="G345" s="3">
        <v>210</v>
      </c>
      <c r="H345" s="9">
        <f t="shared" si="5"/>
        <v>420</v>
      </c>
    </row>
    <row r="346" spans="1:8" x14ac:dyDescent="0.3">
      <c r="A346" s="13">
        <v>345</v>
      </c>
      <c r="B346" s="1">
        <v>44541</v>
      </c>
      <c r="C346" s="2" t="s">
        <v>11</v>
      </c>
      <c r="D346" s="2" t="s">
        <v>12</v>
      </c>
      <c r="E346" s="2" t="s">
        <v>15</v>
      </c>
      <c r="F346" s="3">
        <v>7</v>
      </c>
      <c r="G346" s="3">
        <v>2100</v>
      </c>
      <c r="H346" s="9">
        <f t="shared" si="5"/>
        <v>14700</v>
      </c>
    </row>
    <row r="347" spans="1:8" x14ac:dyDescent="0.3">
      <c r="A347" s="13">
        <v>346</v>
      </c>
      <c r="B347" s="1">
        <v>44542</v>
      </c>
      <c r="C347" s="2" t="s">
        <v>14</v>
      </c>
      <c r="D347" s="2" t="s">
        <v>9</v>
      </c>
      <c r="E347" s="2" t="s">
        <v>17</v>
      </c>
      <c r="F347" s="3">
        <v>6</v>
      </c>
      <c r="G347" s="3">
        <v>1200</v>
      </c>
      <c r="H347" s="9">
        <f t="shared" si="5"/>
        <v>7200</v>
      </c>
    </row>
    <row r="348" spans="1:8" x14ac:dyDescent="0.3">
      <c r="A348" s="13">
        <v>347</v>
      </c>
      <c r="B348" s="1">
        <v>44543</v>
      </c>
      <c r="C348" s="2" t="s">
        <v>16</v>
      </c>
      <c r="D348" s="2" t="s">
        <v>12</v>
      </c>
      <c r="E348" s="2" t="s">
        <v>19</v>
      </c>
      <c r="F348" s="3">
        <v>5</v>
      </c>
      <c r="G348" s="3">
        <v>300</v>
      </c>
      <c r="H348" s="9">
        <f t="shared" si="5"/>
        <v>1500</v>
      </c>
    </row>
    <row r="349" spans="1:8" x14ac:dyDescent="0.3">
      <c r="A349" s="13">
        <v>348</v>
      </c>
      <c r="B349" s="1">
        <v>44544</v>
      </c>
      <c r="C349" s="2" t="s">
        <v>18</v>
      </c>
      <c r="D349" s="2" t="s">
        <v>9</v>
      </c>
      <c r="E349" s="2" t="s">
        <v>21</v>
      </c>
      <c r="F349" s="3">
        <v>4</v>
      </c>
      <c r="G349" s="3">
        <v>200</v>
      </c>
      <c r="H349" s="9">
        <f t="shared" si="5"/>
        <v>800</v>
      </c>
    </row>
    <row r="350" spans="1:8" x14ac:dyDescent="0.3">
      <c r="A350" s="13">
        <v>349</v>
      </c>
      <c r="B350" s="1">
        <v>44545</v>
      </c>
      <c r="C350" s="2" t="s">
        <v>20</v>
      </c>
      <c r="D350" s="2" t="s">
        <v>9</v>
      </c>
      <c r="E350" s="2" t="s">
        <v>10</v>
      </c>
      <c r="F350" s="3">
        <v>3</v>
      </c>
      <c r="G350" s="3">
        <v>190</v>
      </c>
      <c r="H350" s="9">
        <f t="shared" si="5"/>
        <v>570</v>
      </c>
    </row>
    <row r="351" spans="1:8" x14ac:dyDescent="0.3">
      <c r="A351" s="13">
        <v>350</v>
      </c>
      <c r="B351" s="1">
        <v>44546</v>
      </c>
      <c r="C351" s="2" t="s">
        <v>20</v>
      </c>
      <c r="D351" s="2" t="s">
        <v>9</v>
      </c>
      <c r="E351" s="2" t="s">
        <v>13</v>
      </c>
      <c r="F351" s="3">
        <v>2</v>
      </c>
      <c r="G351" s="3">
        <v>2100</v>
      </c>
      <c r="H351" s="9">
        <f t="shared" si="5"/>
        <v>4200</v>
      </c>
    </row>
    <row r="352" spans="1:8" x14ac:dyDescent="0.3">
      <c r="A352" s="13">
        <v>351</v>
      </c>
      <c r="B352" s="1">
        <v>44547</v>
      </c>
      <c r="C352" s="2" t="s">
        <v>8</v>
      </c>
      <c r="D352" s="2" t="s">
        <v>9</v>
      </c>
      <c r="E352" s="2" t="s">
        <v>10</v>
      </c>
      <c r="F352" s="3">
        <v>7</v>
      </c>
      <c r="G352" s="3">
        <v>210</v>
      </c>
      <c r="H352" s="9">
        <f t="shared" si="5"/>
        <v>1470</v>
      </c>
    </row>
    <row r="353" spans="1:8" x14ac:dyDescent="0.3">
      <c r="A353" s="13">
        <v>352</v>
      </c>
      <c r="B353" s="1">
        <v>44548</v>
      </c>
      <c r="C353" s="2" t="s">
        <v>8</v>
      </c>
      <c r="D353" s="2" t="s">
        <v>12</v>
      </c>
      <c r="E353" s="2" t="s">
        <v>13</v>
      </c>
      <c r="F353" s="3">
        <v>6</v>
      </c>
      <c r="G353" s="3">
        <v>2100</v>
      </c>
      <c r="H353" s="9">
        <f t="shared" si="5"/>
        <v>12600</v>
      </c>
    </row>
    <row r="354" spans="1:8" x14ac:dyDescent="0.3">
      <c r="A354" s="13">
        <v>353</v>
      </c>
      <c r="B354" s="1">
        <v>44549</v>
      </c>
      <c r="C354" s="2" t="s">
        <v>8</v>
      </c>
      <c r="D354" s="2" t="s">
        <v>22</v>
      </c>
      <c r="E354" s="2" t="s">
        <v>15</v>
      </c>
      <c r="F354" s="3">
        <v>5</v>
      </c>
      <c r="G354" s="3">
        <v>1200</v>
      </c>
      <c r="H354" s="9">
        <f t="shared" si="5"/>
        <v>6000</v>
      </c>
    </row>
    <row r="355" spans="1:8" x14ac:dyDescent="0.3">
      <c r="A355" s="13">
        <v>354</v>
      </c>
      <c r="B355" s="1">
        <v>44550</v>
      </c>
      <c r="C355" s="2" t="s">
        <v>8</v>
      </c>
      <c r="D355" s="2" t="s">
        <v>23</v>
      </c>
      <c r="E355" s="2" t="s">
        <v>17</v>
      </c>
      <c r="F355" s="3">
        <v>4</v>
      </c>
      <c r="G355" s="3">
        <v>1500</v>
      </c>
      <c r="H355" s="9">
        <f t="shared" si="5"/>
        <v>6000</v>
      </c>
    </row>
    <row r="356" spans="1:8" x14ac:dyDescent="0.3">
      <c r="A356" s="13">
        <v>355</v>
      </c>
      <c r="B356" s="1">
        <v>44551</v>
      </c>
      <c r="C356" s="2" t="s">
        <v>8</v>
      </c>
      <c r="D356" s="2" t="s">
        <v>9</v>
      </c>
      <c r="E356" s="2" t="s">
        <v>19</v>
      </c>
      <c r="F356" s="3">
        <v>3</v>
      </c>
      <c r="G356" s="3">
        <v>300</v>
      </c>
      <c r="H356" s="9">
        <f t="shared" si="5"/>
        <v>900</v>
      </c>
    </row>
    <row r="357" spans="1:8" x14ac:dyDescent="0.3">
      <c r="A357" s="13">
        <v>356</v>
      </c>
      <c r="B357" s="1">
        <v>44552</v>
      </c>
      <c r="C357" s="2" t="s">
        <v>8</v>
      </c>
      <c r="D357" s="2" t="s">
        <v>12</v>
      </c>
      <c r="E357" s="2" t="s">
        <v>21</v>
      </c>
      <c r="F357" s="3">
        <v>2</v>
      </c>
      <c r="G357" s="3">
        <v>190</v>
      </c>
      <c r="H357" s="9">
        <f t="shared" si="5"/>
        <v>380</v>
      </c>
    </row>
    <row r="358" spans="1:8" x14ac:dyDescent="0.3">
      <c r="A358" s="13">
        <v>357</v>
      </c>
      <c r="B358" s="1">
        <v>44553</v>
      </c>
      <c r="C358" s="2" t="s">
        <v>8</v>
      </c>
      <c r="D358" s="2" t="s">
        <v>22</v>
      </c>
      <c r="E358" s="2" t="s">
        <v>10</v>
      </c>
      <c r="F358" s="3">
        <v>7</v>
      </c>
      <c r="G358" s="3">
        <v>210</v>
      </c>
      <c r="H358" s="9">
        <f t="shared" si="5"/>
        <v>1470</v>
      </c>
    </row>
    <row r="359" spans="1:8" x14ac:dyDescent="0.3">
      <c r="A359" s="13">
        <v>358</v>
      </c>
      <c r="B359" s="1">
        <v>44554</v>
      </c>
      <c r="C359" s="2" t="s">
        <v>8</v>
      </c>
      <c r="D359" s="2" t="s">
        <v>23</v>
      </c>
      <c r="E359" s="2" t="s">
        <v>13</v>
      </c>
      <c r="F359" s="3">
        <v>6</v>
      </c>
      <c r="G359" s="3">
        <v>2100</v>
      </c>
      <c r="H359" s="9">
        <f t="shared" si="5"/>
        <v>12600</v>
      </c>
    </row>
    <row r="360" spans="1:8" x14ac:dyDescent="0.3">
      <c r="A360" s="13">
        <v>359</v>
      </c>
      <c r="B360" s="1">
        <v>44555</v>
      </c>
      <c r="C360" s="2" t="s">
        <v>11</v>
      </c>
      <c r="D360" s="2" t="s">
        <v>12</v>
      </c>
      <c r="E360" s="2" t="s">
        <v>13</v>
      </c>
      <c r="F360" s="3">
        <v>6</v>
      </c>
      <c r="G360" s="3">
        <v>2100</v>
      </c>
      <c r="H360" s="9">
        <f t="shared" si="5"/>
        <v>12600</v>
      </c>
    </row>
    <row r="361" spans="1:8" x14ac:dyDescent="0.3">
      <c r="A361" s="13">
        <v>360</v>
      </c>
      <c r="B361" s="1">
        <v>44556</v>
      </c>
      <c r="C361" s="2" t="s">
        <v>11</v>
      </c>
      <c r="D361" s="2" t="s">
        <v>9</v>
      </c>
      <c r="E361" s="2" t="s">
        <v>13</v>
      </c>
      <c r="F361" s="3">
        <v>6</v>
      </c>
      <c r="G361" s="3">
        <v>2100</v>
      </c>
      <c r="H361" s="9">
        <f t="shared" si="5"/>
        <v>12600</v>
      </c>
    </row>
    <row r="362" spans="1:8" x14ac:dyDescent="0.3">
      <c r="A362" s="13">
        <v>361</v>
      </c>
      <c r="B362" s="1">
        <v>44557</v>
      </c>
      <c r="C362" s="2" t="s">
        <v>11</v>
      </c>
      <c r="D362" s="2" t="s">
        <v>22</v>
      </c>
      <c r="E362" s="2" t="s">
        <v>13</v>
      </c>
      <c r="F362" s="3">
        <v>6</v>
      </c>
      <c r="G362" s="3">
        <v>2100</v>
      </c>
      <c r="H362" s="9">
        <f t="shared" si="5"/>
        <v>12600</v>
      </c>
    </row>
    <row r="363" spans="1:8" x14ac:dyDescent="0.3">
      <c r="A363" s="13">
        <v>362</v>
      </c>
      <c r="B363" s="1">
        <v>44558</v>
      </c>
      <c r="C363" s="2" t="s">
        <v>11</v>
      </c>
      <c r="D363" s="2" t="s">
        <v>23</v>
      </c>
      <c r="E363" s="2" t="s">
        <v>13</v>
      </c>
      <c r="F363" s="3">
        <v>6</v>
      </c>
      <c r="G363" s="3">
        <v>2100</v>
      </c>
      <c r="H363" s="9">
        <f t="shared" si="5"/>
        <v>12600</v>
      </c>
    </row>
    <row r="364" spans="1:8" x14ac:dyDescent="0.3">
      <c r="A364" s="13">
        <v>363</v>
      </c>
      <c r="B364" s="1">
        <v>44559</v>
      </c>
      <c r="C364" s="2" t="s">
        <v>11</v>
      </c>
      <c r="D364" s="2" t="s">
        <v>12</v>
      </c>
      <c r="E364" s="2" t="s">
        <v>13</v>
      </c>
      <c r="F364" s="3">
        <v>6</v>
      </c>
      <c r="G364" s="3">
        <v>2100</v>
      </c>
      <c r="H364" s="9">
        <f t="shared" si="5"/>
        <v>12600</v>
      </c>
    </row>
    <row r="365" spans="1:8" x14ac:dyDescent="0.3">
      <c r="A365" s="13">
        <v>364</v>
      </c>
      <c r="B365" s="1">
        <v>44560</v>
      </c>
      <c r="C365" s="2" t="s">
        <v>11</v>
      </c>
      <c r="D365" s="2" t="s">
        <v>9</v>
      </c>
      <c r="E365" s="2" t="s">
        <v>13</v>
      </c>
      <c r="F365" s="3">
        <v>6</v>
      </c>
      <c r="G365" s="3">
        <v>2100</v>
      </c>
      <c r="H365" s="9">
        <f t="shared" si="5"/>
        <v>12600</v>
      </c>
    </row>
    <row r="366" spans="1:8" x14ac:dyDescent="0.3">
      <c r="A366" s="13">
        <v>365</v>
      </c>
      <c r="B366" s="1">
        <v>44561</v>
      </c>
      <c r="C366" s="2" t="s">
        <v>11</v>
      </c>
      <c r="D366" s="2" t="s">
        <v>22</v>
      </c>
      <c r="E366" s="2" t="s">
        <v>15</v>
      </c>
      <c r="F366" s="3">
        <v>6</v>
      </c>
      <c r="G366" s="3">
        <v>1200</v>
      </c>
      <c r="H366" s="9">
        <f t="shared" si="5"/>
        <v>7200</v>
      </c>
    </row>
    <row r="367" spans="1:8" x14ac:dyDescent="0.3">
      <c r="A367" s="19">
        <v>366</v>
      </c>
      <c r="B367" s="20">
        <v>44562</v>
      </c>
      <c r="C367" s="10" t="s">
        <v>11</v>
      </c>
      <c r="D367" s="10" t="s">
        <v>23</v>
      </c>
      <c r="E367" s="10" t="s">
        <v>17</v>
      </c>
      <c r="F367" s="11">
        <v>5</v>
      </c>
      <c r="G367" s="11">
        <v>1500</v>
      </c>
      <c r="H367" s="12">
        <f t="shared" si="5"/>
        <v>7500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C2C9-C5EA-4EAB-AF0A-EC117E6F1494}">
  <dimension ref="A1:B114"/>
  <sheetViews>
    <sheetView topLeftCell="A46" zoomScale="78" workbookViewId="0">
      <selection activeCell="A55" sqref="A55:A60"/>
    </sheetView>
  </sheetViews>
  <sheetFormatPr defaultRowHeight="14.4" x14ac:dyDescent="0.3"/>
  <cols>
    <col min="1" max="1" width="13.21875" bestFit="1" customWidth="1"/>
    <col min="2" max="2" width="14.44140625" bestFit="1" customWidth="1"/>
    <col min="3" max="3" width="10.44140625" bestFit="1" customWidth="1"/>
    <col min="4" max="7" width="11.5546875" bestFit="1" customWidth="1"/>
    <col min="8" max="8" width="12.6640625" bestFit="1" customWidth="1"/>
  </cols>
  <sheetData>
    <row r="1" spans="1:2" x14ac:dyDescent="0.3">
      <c r="A1" s="4" t="s">
        <v>25</v>
      </c>
      <c r="B1" t="s">
        <v>26</v>
      </c>
    </row>
    <row r="2" spans="1:2" x14ac:dyDescent="0.3">
      <c r="A2" s="5" t="s">
        <v>27</v>
      </c>
      <c r="B2" s="6">
        <v>143130</v>
      </c>
    </row>
    <row r="3" spans="1:2" x14ac:dyDescent="0.3">
      <c r="A3" s="5" t="s">
        <v>28</v>
      </c>
      <c r="B3" s="6">
        <v>224470</v>
      </c>
    </row>
    <row r="4" spans="1:2" x14ac:dyDescent="0.3">
      <c r="A4" s="5" t="s">
        <v>29</v>
      </c>
      <c r="B4" s="6">
        <v>86100</v>
      </c>
    </row>
    <row r="5" spans="1:2" x14ac:dyDescent="0.3">
      <c r="A5" s="5" t="s">
        <v>30</v>
      </c>
      <c r="B5" s="6">
        <v>153530</v>
      </c>
    </row>
    <row r="6" spans="1:2" x14ac:dyDescent="0.3">
      <c r="A6" s="5" t="s">
        <v>31</v>
      </c>
      <c r="B6" s="6">
        <v>110160</v>
      </c>
    </row>
    <row r="7" spans="1:2" x14ac:dyDescent="0.3">
      <c r="A7" s="5" t="s">
        <v>32</v>
      </c>
      <c r="B7" s="6">
        <v>118530</v>
      </c>
    </row>
    <row r="8" spans="1:2" x14ac:dyDescent="0.3">
      <c r="A8" s="5" t="s">
        <v>33</v>
      </c>
      <c r="B8" s="6">
        <v>130100</v>
      </c>
    </row>
    <row r="9" spans="1:2" x14ac:dyDescent="0.3">
      <c r="A9" s="5" t="s">
        <v>34</v>
      </c>
      <c r="B9" s="6">
        <v>156300</v>
      </c>
    </row>
    <row r="10" spans="1:2" x14ac:dyDescent="0.3">
      <c r="A10" s="5" t="s">
        <v>35</v>
      </c>
      <c r="B10" s="6">
        <v>223770</v>
      </c>
    </row>
    <row r="11" spans="1:2" x14ac:dyDescent="0.3">
      <c r="A11" s="5" t="s">
        <v>36</v>
      </c>
      <c r="B11" s="6">
        <v>197350</v>
      </c>
    </row>
    <row r="12" spans="1:2" x14ac:dyDescent="0.3">
      <c r="A12" s="5" t="s">
        <v>37</v>
      </c>
      <c r="B12" s="6">
        <v>31520</v>
      </c>
    </row>
    <row r="13" spans="1:2" x14ac:dyDescent="0.3">
      <c r="A13" s="5" t="s">
        <v>38</v>
      </c>
      <c r="B13" s="6">
        <v>207610</v>
      </c>
    </row>
    <row r="14" spans="1:2" x14ac:dyDescent="0.3">
      <c r="A14" s="5" t="s">
        <v>24</v>
      </c>
      <c r="B14" s="6">
        <v>1782570</v>
      </c>
    </row>
    <row r="20" spans="1:2" x14ac:dyDescent="0.3">
      <c r="A20" s="4" t="s">
        <v>25</v>
      </c>
      <c r="B20" t="s">
        <v>26</v>
      </c>
    </row>
    <row r="21" spans="1:2" x14ac:dyDescent="0.3">
      <c r="A21" s="5" t="s">
        <v>9</v>
      </c>
      <c r="B21" s="6">
        <v>736080</v>
      </c>
    </row>
    <row r="22" spans="1:2" x14ac:dyDescent="0.3">
      <c r="A22" s="5" t="s">
        <v>22</v>
      </c>
      <c r="B22" s="6">
        <v>203680</v>
      </c>
    </row>
    <row r="23" spans="1:2" x14ac:dyDescent="0.3">
      <c r="A23" s="5" t="s">
        <v>23</v>
      </c>
      <c r="B23" s="6">
        <v>335480</v>
      </c>
    </row>
    <row r="24" spans="1:2" x14ac:dyDescent="0.3">
      <c r="A24" s="5" t="s">
        <v>12</v>
      </c>
      <c r="B24" s="6">
        <v>507330</v>
      </c>
    </row>
    <row r="25" spans="1:2" x14ac:dyDescent="0.3">
      <c r="A25" s="5" t="s">
        <v>24</v>
      </c>
      <c r="B25" s="6">
        <v>1782570</v>
      </c>
    </row>
    <row r="33" spans="1:2" x14ac:dyDescent="0.3">
      <c r="A33" s="4" t="s">
        <v>25</v>
      </c>
      <c r="B33" t="s">
        <v>26</v>
      </c>
    </row>
    <row r="34" spans="1:2" x14ac:dyDescent="0.3">
      <c r="A34" s="5" t="s">
        <v>15</v>
      </c>
      <c r="B34" s="6">
        <v>339000</v>
      </c>
    </row>
    <row r="35" spans="1:2" x14ac:dyDescent="0.3">
      <c r="A35" s="5" t="s">
        <v>13</v>
      </c>
      <c r="B35" s="6">
        <v>934500</v>
      </c>
    </row>
    <row r="36" spans="1:2" x14ac:dyDescent="0.3">
      <c r="A36" s="5" t="s">
        <v>17</v>
      </c>
      <c r="B36" s="6">
        <v>352200</v>
      </c>
    </row>
    <row r="37" spans="1:2" x14ac:dyDescent="0.3">
      <c r="A37" s="5" t="s">
        <v>24</v>
      </c>
      <c r="B37" s="6">
        <v>1625700</v>
      </c>
    </row>
    <row r="46" spans="1:2" x14ac:dyDescent="0.3">
      <c r="A46" t="s">
        <v>26</v>
      </c>
    </row>
    <row r="47" spans="1:2" x14ac:dyDescent="0.3">
      <c r="A47" s="6">
        <v>1782570</v>
      </c>
      <c r="B47">
        <f>GETPIVOTDATA("Amount",$A$46)</f>
        <v>1782570</v>
      </c>
    </row>
    <row r="50" spans="1:2" x14ac:dyDescent="0.3">
      <c r="A50" s="8" t="s">
        <v>39</v>
      </c>
    </row>
    <row r="51" spans="1:2" x14ac:dyDescent="0.3">
      <c r="A51" s="7">
        <v>335540</v>
      </c>
      <c r="B51">
        <f>GETPIVOTDATA("Price",$A$50)</f>
        <v>335540</v>
      </c>
    </row>
    <row r="54" spans="1:2" x14ac:dyDescent="0.3">
      <c r="A54" s="4" t="s">
        <v>25</v>
      </c>
      <c r="B54" t="s">
        <v>26</v>
      </c>
    </row>
    <row r="55" spans="1:2" x14ac:dyDescent="0.3">
      <c r="A55" s="5" t="s">
        <v>21</v>
      </c>
      <c r="B55" s="6">
        <v>25320</v>
      </c>
    </row>
    <row r="56" spans="1:2" x14ac:dyDescent="0.3">
      <c r="A56" s="5" t="s">
        <v>15</v>
      </c>
      <c r="B56" s="6">
        <v>339000</v>
      </c>
    </row>
    <row r="57" spans="1:2" x14ac:dyDescent="0.3">
      <c r="A57" s="5" t="s">
        <v>10</v>
      </c>
      <c r="B57" s="6">
        <v>66150</v>
      </c>
    </row>
    <row r="58" spans="1:2" x14ac:dyDescent="0.3">
      <c r="A58" s="5" t="s">
        <v>13</v>
      </c>
      <c r="B58" s="6">
        <v>934500</v>
      </c>
    </row>
    <row r="59" spans="1:2" x14ac:dyDescent="0.3">
      <c r="A59" s="5" t="s">
        <v>17</v>
      </c>
      <c r="B59" s="6">
        <v>352200</v>
      </c>
    </row>
    <row r="60" spans="1:2" x14ac:dyDescent="0.3">
      <c r="A60" s="5" t="s">
        <v>19</v>
      </c>
      <c r="B60" s="6">
        <v>65400</v>
      </c>
    </row>
    <row r="61" spans="1:2" x14ac:dyDescent="0.3">
      <c r="A61" s="5" t="s">
        <v>24</v>
      </c>
      <c r="B61" s="6">
        <v>1782570</v>
      </c>
    </row>
    <row r="66" spans="1:2" x14ac:dyDescent="0.3">
      <c r="A66" s="4" t="s">
        <v>25</v>
      </c>
      <c r="B66" t="s">
        <v>26</v>
      </c>
    </row>
    <row r="67" spans="1:2" x14ac:dyDescent="0.3">
      <c r="A67" s="5" t="s">
        <v>21</v>
      </c>
      <c r="B67" s="6">
        <v>25320</v>
      </c>
    </row>
    <row r="68" spans="1:2" x14ac:dyDescent="0.3">
      <c r="A68" s="5" t="s">
        <v>10</v>
      </c>
      <c r="B68" s="6">
        <v>66150</v>
      </c>
    </row>
    <row r="69" spans="1:2" x14ac:dyDescent="0.3">
      <c r="A69" s="5" t="s">
        <v>19</v>
      </c>
      <c r="B69" s="6">
        <v>65400</v>
      </c>
    </row>
    <row r="70" spans="1:2" x14ac:dyDescent="0.3">
      <c r="A70" s="5" t="s">
        <v>24</v>
      </c>
      <c r="B70" s="6">
        <v>156870</v>
      </c>
    </row>
    <row r="79" spans="1:2" x14ac:dyDescent="0.3">
      <c r="A79" s="4" t="s">
        <v>25</v>
      </c>
      <c r="B79" t="s">
        <v>26</v>
      </c>
    </row>
    <row r="80" spans="1:2" x14ac:dyDescent="0.3">
      <c r="A80" s="5" t="s">
        <v>21</v>
      </c>
      <c r="B80" s="6">
        <v>25320</v>
      </c>
    </row>
    <row r="81" spans="1:2" x14ac:dyDescent="0.3">
      <c r="A81" s="5" t="s">
        <v>15</v>
      </c>
      <c r="B81" s="6">
        <v>339000</v>
      </c>
    </row>
    <row r="82" spans="1:2" x14ac:dyDescent="0.3">
      <c r="A82" s="5" t="s">
        <v>10</v>
      </c>
      <c r="B82" s="6">
        <v>66150</v>
      </c>
    </row>
    <row r="83" spans="1:2" x14ac:dyDescent="0.3">
      <c r="A83" s="5" t="s">
        <v>13</v>
      </c>
      <c r="B83" s="6">
        <v>934500</v>
      </c>
    </row>
    <row r="84" spans="1:2" x14ac:dyDescent="0.3">
      <c r="A84" s="5" t="s">
        <v>17</v>
      </c>
      <c r="B84" s="6">
        <v>352200</v>
      </c>
    </row>
    <row r="85" spans="1:2" x14ac:dyDescent="0.3">
      <c r="A85" s="5" t="s">
        <v>19</v>
      </c>
      <c r="B85" s="6">
        <v>65400</v>
      </c>
    </row>
    <row r="86" spans="1:2" x14ac:dyDescent="0.3">
      <c r="A86" s="5" t="s">
        <v>24</v>
      </c>
      <c r="B86" s="6">
        <v>1782570</v>
      </c>
    </row>
    <row r="91" spans="1:2" x14ac:dyDescent="0.3">
      <c r="A91" s="4" t="s">
        <v>25</v>
      </c>
      <c r="B91" t="s">
        <v>26</v>
      </c>
    </row>
    <row r="92" spans="1:2" x14ac:dyDescent="0.3">
      <c r="A92" s="5" t="s">
        <v>8</v>
      </c>
      <c r="B92" s="6">
        <v>386030</v>
      </c>
    </row>
    <row r="93" spans="1:2" x14ac:dyDescent="0.3">
      <c r="A93" s="5" t="s">
        <v>16</v>
      </c>
      <c r="B93" s="6">
        <v>184690</v>
      </c>
    </row>
    <row r="94" spans="1:2" x14ac:dyDescent="0.3">
      <c r="A94" s="5" t="s">
        <v>18</v>
      </c>
      <c r="B94" s="6">
        <v>125600</v>
      </c>
    </row>
    <row r="95" spans="1:2" x14ac:dyDescent="0.3">
      <c r="A95" s="5" t="s">
        <v>14</v>
      </c>
      <c r="B95" s="6">
        <v>139880</v>
      </c>
    </row>
    <row r="96" spans="1:2" x14ac:dyDescent="0.3">
      <c r="A96" s="5" t="s">
        <v>11</v>
      </c>
      <c r="B96" s="6">
        <v>394410</v>
      </c>
    </row>
    <row r="97" spans="1:2" x14ac:dyDescent="0.3">
      <c r="A97" s="5" t="s">
        <v>20</v>
      </c>
      <c r="B97" s="6">
        <v>551960</v>
      </c>
    </row>
    <row r="98" spans="1:2" x14ac:dyDescent="0.3">
      <c r="A98" s="5" t="s">
        <v>24</v>
      </c>
      <c r="B98" s="6">
        <v>1782570</v>
      </c>
    </row>
    <row r="102" spans="1:2" x14ac:dyDescent="0.3">
      <c r="A102" s="4" t="s">
        <v>25</v>
      </c>
      <c r="B102" t="s">
        <v>26</v>
      </c>
    </row>
    <row r="103" spans="1:2" x14ac:dyDescent="0.3">
      <c r="A103" s="5" t="s">
        <v>8</v>
      </c>
      <c r="B103" s="6">
        <v>386030</v>
      </c>
    </row>
    <row r="104" spans="1:2" x14ac:dyDescent="0.3">
      <c r="A104" s="5" t="s">
        <v>11</v>
      </c>
      <c r="B104" s="6">
        <v>394410</v>
      </c>
    </row>
    <row r="105" spans="1:2" x14ac:dyDescent="0.3">
      <c r="A105" s="5" t="s">
        <v>20</v>
      </c>
      <c r="B105" s="6">
        <v>551960</v>
      </c>
    </row>
    <row r="106" spans="1:2" x14ac:dyDescent="0.3">
      <c r="A106" s="5" t="s">
        <v>24</v>
      </c>
      <c r="B106" s="6">
        <v>1332400</v>
      </c>
    </row>
    <row r="110" spans="1:2" x14ac:dyDescent="0.3">
      <c r="A110" s="4" t="s">
        <v>25</v>
      </c>
      <c r="B110" t="s">
        <v>26</v>
      </c>
    </row>
    <row r="111" spans="1:2" x14ac:dyDescent="0.3">
      <c r="A111" s="5" t="s">
        <v>16</v>
      </c>
      <c r="B111" s="6">
        <v>184690</v>
      </c>
    </row>
    <row r="112" spans="1:2" x14ac:dyDescent="0.3">
      <c r="A112" s="5" t="s">
        <v>18</v>
      </c>
      <c r="B112" s="6">
        <v>125600</v>
      </c>
    </row>
    <row r="113" spans="1:2" x14ac:dyDescent="0.3">
      <c r="A113" s="5" t="s">
        <v>14</v>
      </c>
      <c r="B113" s="6">
        <v>139880</v>
      </c>
    </row>
    <row r="114" spans="1:2" x14ac:dyDescent="0.3">
      <c r="A114" s="5" t="s">
        <v>24</v>
      </c>
      <c r="B114" s="6">
        <v>450170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0617-F7D6-4F15-87B6-E0B78EEF009F}">
  <dimension ref="A1"/>
  <sheetViews>
    <sheetView tabSelected="1"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1964-75F6-4579-8FF8-717C74E45378}">
  <dimension ref="A1"/>
  <sheetViews>
    <sheetView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A42A-9883-47FC-9A2C-2487F7C84E25}">
  <dimension ref="A1"/>
  <sheetViews>
    <sheetView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4DEE-BDD8-4A78-AE22-CDFDC1192F54}">
  <dimension ref="A1"/>
  <sheetViews>
    <sheetView zoomScale="80" zoomScaleNormal="8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Pivot</vt:lpstr>
      <vt:lpstr>Dashboard</vt:lpstr>
      <vt:lpstr>Product</vt:lpstr>
      <vt:lpstr>Salesman</vt:lpstr>
      <vt:lpstr>About</vt:lpstr>
      <vt:lpstr>Salesman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Govind</dc:creator>
  <cp:lastModifiedBy>Gaurav Bhagwat</cp:lastModifiedBy>
  <dcterms:created xsi:type="dcterms:W3CDTF">2026-04-14T10:46:16Z</dcterms:created>
  <dcterms:modified xsi:type="dcterms:W3CDTF">2026-05-21T10:35:49Z</dcterms:modified>
</cp:coreProperties>
</file>